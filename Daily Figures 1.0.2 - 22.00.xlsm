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kryst\Downloads\"/>
    </mc:Choice>
  </mc:AlternateContent>
  <xr:revisionPtr revIDLastSave="0" documentId="13_ncr:1_{508D53CC-9259-4929-B13F-AEFD766B7DE0}" xr6:coauthVersionLast="47" xr6:coauthVersionMax="47" xr10:uidLastSave="{00000000-0000-0000-0000-000000000000}"/>
  <workbookProtection workbookAlgorithmName="SHA-512" workbookHashValue="tCFfNA8lPHfAkftIgLE2EldKPqycKogm2YdT+lSYgEMQYBCnlh1idsQN429tJS3bETMUwfHh7PZbpoMzz4SfdQ==" workbookSaltValue="7NLdZAqWKYNzyOJyzQlIdA==" workbookSpinCount="100000" lockStructure="1"/>
  <bookViews>
    <workbookView xWindow="-120" yWindow="-120" windowWidth="29040" windowHeight="16440" xr2:uid="{00000000-000D-0000-FFFF-FFFF00000000}"/>
  </bookViews>
  <sheets>
    <sheet name="Daily Figures" sheetId="1" r:id="rId1"/>
    <sheet name="dummy" sheetId="6" state="hidden" r:id="rId2"/>
    <sheet name="Shipment counter" sheetId="2" r:id="rId3"/>
    <sheet name="Sheet1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  <c r="C5" i="1" l="1"/>
  <c r="C5" i="6" s="1"/>
  <c r="D22" i="6" l="1"/>
  <c r="C22" i="6"/>
  <c r="D20" i="6"/>
  <c r="C20" i="6"/>
  <c r="C18" i="6"/>
  <c r="C17" i="6"/>
  <c r="C16" i="6"/>
  <c r="C13" i="6"/>
  <c r="C10" i="6"/>
  <c r="C7" i="6"/>
  <c r="C6" i="6"/>
  <c r="C3" i="1" l="1"/>
  <c r="C3" i="6" s="1"/>
  <c r="C9" i="1" l="1"/>
  <c r="C9" i="6" s="1"/>
  <c r="C15" i="1"/>
  <c r="C15" i="6" l="1"/>
  <c r="C11" i="1"/>
  <c r="C12" i="1" s="1"/>
  <c r="C14" i="1"/>
  <c r="D5" i="1" s="1"/>
  <c r="C11" i="6" l="1"/>
  <c r="C14" i="6"/>
  <c r="B41" i="6" s="1"/>
  <c r="C8" i="6"/>
  <c r="B41" i="1"/>
  <c r="C12" i="6" l="1"/>
  <c r="D5" i="6"/>
  <c r="G28" i="6"/>
  <c r="G22" i="6"/>
  <c r="G23" i="6"/>
  <c r="G20" i="6"/>
  <c r="G27" i="6"/>
  <c r="G21" i="6"/>
  <c r="G26" i="6"/>
  <c r="G24" i="6"/>
  <c r="G19" i="6"/>
  <c r="G25" i="6"/>
</calcChain>
</file>

<file path=xl/sharedStrings.xml><?xml version="1.0" encoding="utf-8"?>
<sst xmlns="http://schemas.openxmlformats.org/spreadsheetml/2006/main" count="87" uniqueCount="50">
  <si>
    <t>Date</t>
  </si>
  <si>
    <t>Working hours</t>
  </si>
  <si>
    <t>Rating[h]</t>
  </si>
  <si>
    <t>Audit[h]</t>
  </si>
  <si>
    <t>Shipments rated</t>
  </si>
  <si>
    <t xml:space="preserve">Audits </t>
  </si>
  <si>
    <t>Total processed</t>
  </si>
  <si>
    <t>Rat/h</t>
  </si>
  <si>
    <t>Private leave[h]</t>
  </si>
  <si>
    <t>Start</t>
  </si>
  <si>
    <t>End</t>
  </si>
  <si>
    <r>
      <t xml:space="preserve">1. </t>
    </r>
    <r>
      <rPr>
        <b/>
        <u/>
        <sz val="11"/>
        <color theme="1"/>
        <rFont val="Calibri"/>
        <family val="2"/>
        <scheme val="minor"/>
      </rPr>
      <t>Nie wypełniamy</t>
    </r>
    <r>
      <rPr>
        <sz val="11"/>
        <color theme="1"/>
        <rFont val="Calibri"/>
        <family val="2"/>
        <scheme val="minor"/>
      </rPr>
      <t xml:space="preserve"> pól zaznaczonych na żółto</t>
    </r>
  </si>
  <si>
    <t>2. Working hours - godziny w których pracujemy w formacie hh:mm - hh:mm</t>
  </si>
  <si>
    <t>6. Audits - liczba audytów, które przeprocesowaliśmy</t>
  </si>
  <si>
    <t>7. Overtime - liczba nadgodzin</t>
  </si>
  <si>
    <t>8. Less - liczba godzin, które przeznaczyliśmy na czynności inne niż rating/audyt (huddle, technical issues itp)</t>
  </si>
  <si>
    <t>Daily Figures</t>
  </si>
  <si>
    <t>Private leave[hh:mm]</t>
  </si>
  <si>
    <t>10. Private leave - należy wypełniać w formacie UTC (jak w Polsce). Jeśli nie ma private leave, należy pozostawić podane pola jako "0:00"</t>
  </si>
  <si>
    <t>Working off a private leave [hh:mm]</t>
  </si>
  <si>
    <t>11. Working off a private leave - należy wypełniać w formacie UTC (jak w Polsce). Jeśli nie ma odpracowania, należy pozostawić podane pola jako "0:00"</t>
  </si>
  <si>
    <t>Delay[h]</t>
  </si>
  <si>
    <t>Working off delay[h]</t>
  </si>
  <si>
    <t>9. Details - szczegółowy opis na czym polegał Less. Powinien się znaleźć pod Daily Figures np. *1)huddle(0.5h), technical issues(0.5h)</t>
  </si>
  <si>
    <t xml:space="preserve">Rated shipments </t>
  </si>
  <si>
    <t>3. Rating[h] - godziny, które przeznaczyliśmy na rating (standardowo wraz z audytem 7.5h)</t>
  </si>
  <si>
    <t>4. Audit[h] - godziny, które przeznaczyliśmy na audyt (standardowo wraz z ratingiem 7.5h)</t>
  </si>
  <si>
    <t>5. Shipments rated - liczba shipmentów, które przeprocesowaliśmy (zakładka shipment counter)</t>
  </si>
  <si>
    <r>
      <t xml:space="preserve">13. </t>
    </r>
    <r>
      <rPr>
        <b/>
        <sz val="11"/>
        <color theme="1"/>
        <rFont val="Calibri"/>
        <family val="2"/>
        <scheme val="minor"/>
      </rPr>
      <t>W przypadku pracy nad shipmentem, który zajmuje dużo czasu, należy o takim fakcie poinformować w "details" [numer shipmentu]-[czas]</t>
    </r>
  </si>
  <si>
    <t>Overtime[h]</t>
  </si>
  <si>
    <t>Working off a private leave[h]</t>
  </si>
  <si>
    <t>Less[h]</t>
  </si>
  <si>
    <t>14. Rating, audit, overtime, less, delay oraz working off delay należy wpisywać w formacie 0.25; 0.5; 0.75 itp</t>
  </si>
  <si>
    <t>Instruction</t>
  </si>
  <si>
    <t>12. Daily figures oraz Details należy skopiować zaznaczając obie tabele, a następnie wkleić wypełnione do maila na koniec zmiany</t>
  </si>
  <si>
    <t>Shipment number</t>
  </si>
  <si>
    <t>Additional comments</t>
  </si>
  <si>
    <t>22/12/21</t>
  </si>
  <si>
    <t>v 0.9.3</t>
  </si>
  <si>
    <r>
      <t xml:space="preserve">1. </t>
    </r>
    <r>
      <rPr>
        <b/>
        <u/>
        <sz val="11"/>
        <color theme="1"/>
        <rFont val="Calibri"/>
        <family val="2"/>
        <scheme val="minor"/>
      </rPr>
      <t>Nie wypełniamy</t>
    </r>
    <r>
      <rPr>
        <sz val="11"/>
        <color theme="1"/>
        <rFont val="Calibri"/>
        <family val="2"/>
        <scheme val="minor"/>
      </rPr>
      <t xml:space="preserve"> pól zaznaczonych na pomarańczowo</t>
    </r>
  </si>
  <si>
    <t>Production time [h]</t>
  </si>
  <si>
    <t>4. Rating [h] oraz Audit[h] - godziny, które przeznaczyliśmy na rating/audyt (standardowo 7.5h)</t>
  </si>
  <si>
    <r>
      <t xml:space="preserve">2. Raport wypełniamy </t>
    </r>
    <r>
      <rPr>
        <b/>
        <u/>
        <sz val="11"/>
        <color theme="1"/>
        <rFont val="Calibri"/>
        <family val="2"/>
        <scheme val="minor"/>
      </rPr>
      <t>zawsze</t>
    </r>
    <r>
      <rPr>
        <sz val="11"/>
        <color theme="1"/>
        <rFont val="Calibri"/>
        <family val="2"/>
        <scheme val="minor"/>
      </rPr>
      <t xml:space="preserve"> od góry do dołu</t>
    </r>
  </si>
  <si>
    <t>14. Rating, audit, overtime, less, delay oraz working off delay należy wpisywać w formacie 0.25; 0.5; 0.75 itp (0.25 - 15 min)</t>
  </si>
  <si>
    <t>12. Na koniec zmiany klikamy "Send Email" i wysyłamy bez ingerowania w zawartość maila</t>
  </si>
  <si>
    <t>Details</t>
  </si>
  <si>
    <t xml:space="preserve">9. Details - szczegółowy opis na czym polegał Less np. *1)huddle(0.5h), technical issues(0.5h) wpisywane od nowej linijki </t>
  </si>
  <si>
    <t>3. Working hours - godziny w których pracujemy w formacie hh:mm - hh:mm</t>
  </si>
  <si>
    <t>v 1.0.2</t>
  </si>
  <si>
    <t>5. Shipments rated - liczba shipmentów, które przeprocesowaliśmy (aby wypełnić należy przejść do zakładki shipment counter do komórki L13)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</si>
</sst>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0;0;;@"/>
  </numFmts>
  <fonts count="4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9C5700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89F"/>
        <bgColor indexed="64"/>
      </patternFill>
    </fill>
    <fill>
      <patternFill patternType="solid">
        <fgColor rgb="FF9B9BFF"/>
        <bgColor indexed="64"/>
      </patternFill>
    </fill>
  </fills>
  <borders count="2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12">
    <xf numFmtId="0" fontId="0" fillId="0" borderId="0" xfId="0"/>
    <xf numFmtId="0" fontId="0" fillId="3" borderId="0" xfId="0" applyFill="1"/>
    <xf numFmtId="0" fontId="0" fillId="3" borderId="0" xfId="0" applyFill="1" applyAlignment="1"/>
    <xf numFmtId="0" fontId="0" fillId="3" borderId="0" xfId="0" applyFill="1" applyBorder="1" applyAlignment="1"/>
    <xf numFmtId="0" fontId="0" fillId="0" borderId="0" xfId="0" applyNumberFormat="1"/>
    <xf numFmtId="20" fontId="0" fillId="0" borderId="0" xfId="0" applyNumberFormat="1"/>
    <xf numFmtId="20" fontId="0" fillId="3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5" borderId="0" xfId="0" applyFill="1"/>
    <xf numFmtId="20" fontId="0" fillId="5" borderId="0" xfId="0" applyNumberFormat="1" applyFill="1"/>
    <xf numFmtId="0" fontId="0" fillId="5" borderId="0" xfId="0" applyFill="1" applyAlignment="1"/>
    <xf numFmtId="0" fontId="0" fillId="5" borderId="0" xfId="0" applyNumberFormat="1" applyFill="1"/>
    <xf numFmtId="0" fontId="0" fillId="5" borderId="0" xfId="0" applyFill="1" applyBorder="1" applyAlignment="1"/>
    <xf numFmtId="164" fontId="0" fillId="4" borderId="1" xfId="0" applyNumberFormat="1" applyFill="1" applyBorder="1" applyAlignment="1" applyProtection="1">
      <alignment horizontal="center"/>
      <protection locked="0"/>
    </xf>
    <xf numFmtId="0" fontId="0" fillId="4" borderId="1" xfId="0" applyFill="1" applyBorder="1" applyAlignment="1">
      <alignment horizontal="center"/>
    </xf>
    <xf numFmtId="22" fontId="0" fillId="4" borderId="26" xfId="0" applyNumberFormat="1" applyFill="1" applyBorder="1" applyProtection="1">
      <protection locked="0"/>
    </xf>
    <xf numFmtId="22" fontId="0" fillId="4" borderId="27" xfId="0" applyNumberFormat="1" applyFill="1" applyBorder="1" applyProtection="1">
      <protection locked="0"/>
    </xf>
    <xf numFmtId="0" fontId="0" fillId="4" borderId="27" xfId="0" applyFill="1" applyBorder="1" applyProtection="1">
      <protection locked="0"/>
    </xf>
    <xf numFmtId="22" fontId="0" fillId="4" borderId="26" xfId="0" applyNumberFormat="1" applyFill="1" applyBorder="1"/>
    <xf numFmtId="0" fontId="0" fillId="4" borderId="27" xfId="0" applyFill="1" applyBorder="1"/>
    <xf numFmtId="0" fontId="0" fillId="4" borderId="26" xfId="0" applyFill="1" applyBorder="1"/>
    <xf numFmtId="0" fontId="0" fillId="0" borderId="26" xfId="0" applyBorder="1"/>
    <xf numFmtId="0" fontId="0" fillId="0" borderId="27" xfId="0" applyBorder="1"/>
    <xf numFmtId="0" fontId="3" fillId="7" borderId="1" xfId="0" applyFont="1" applyFill="1" applyBorder="1" applyAlignment="1">
      <alignment horizontal="center"/>
    </xf>
    <xf numFmtId="22" fontId="3" fillId="7" borderId="24" xfId="0" applyNumberFormat="1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  <xf numFmtId="0" fontId="3" fillId="4" borderId="1" xfId="1" applyFont="1" applyFill="1" applyBorder="1" applyAlignment="1" applyProtection="1">
      <alignment horizontal="center"/>
      <protection locked="0" hidden="1"/>
    </xf>
    <xf numFmtId="0" fontId="3" fillId="7" borderId="3" xfId="0" applyFont="1" applyFill="1" applyBorder="1" applyAlignment="1"/>
    <xf numFmtId="14" fontId="3" fillId="7" borderId="4" xfId="0" applyNumberFormat="1" applyFont="1" applyFill="1" applyBorder="1" applyAlignment="1"/>
    <xf numFmtId="0" fontId="0" fillId="7" borderId="3" xfId="0" applyFill="1" applyBorder="1" applyAlignment="1"/>
    <xf numFmtId="0" fontId="0" fillId="7" borderId="4" xfId="0" applyFill="1" applyBorder="1" applyAlignment="1"/>
    <xf numFmtId="0" fontId="0" fillId="5" borderId="0" xfId="0" applyFill="1" applyBorder="1"/>
    <xf numFmtId="0" fontId="0" fillId="5" borderId="0" xfId="0" applyFill="1" applyBorder="1" applyAlignment="1" applyProtection="1">
      <alignment vertical="top"/>
      <protection locked="0"/>
    </xf>
    <xf numFmtId="0" fontId="3" fillId="5" borderId="0" xfId="0" applyFont="1" applyFill="1" applyBorder="1" applyAlignment="1"/>
    <xf numFmtId="0" fontId="0" fillId="3" borderId="0" xfId="0" applyFill="1" applyBorder="1" applyAlignment="1">
      <alignment vertical="top"/>
    </xf>
    <xf numFmtId="0" fontId="0" fillId="5" borderId="0" xfId="0" applyFill="1" applyBorder="1" applyAlignment="1" applyProtection="1"/>
    <xf numFmtId="0" fontId="0" fillId="5" borderId="0" xfId="0" applyFill="1" applyProtection="1"/>
    <xf numFmtId="0" fontId="0" fillId="5" borderId="0" xfId="0" applyFill="1" applyBorder="1" applyAlignment="1" applyProtection="1">
      <alignment vertical="top" wrapText="1"/>
    </xf>
    <xf numFmtId="0" fontId="3" fillId="5" borderId="0" xfId="0" applyFont="1" applyFill="1" applyBorder="1" applyAlignment="1" applyProtection="1"/>
    <xf numFmtId="0" fontId="0" fillId="5" borderId="0" xfId="0" applyFill="1" applyBorder="1" applyAlignment="1" applyProtection="1">
      <alignment vertical="top"/>
    </xf>
    <xf numFmtId="20" fontId="3" fillId="6" borderId="1" xfId="0" applyNumberFormat="1" applyFont="1" applyFill="1" applyBorder="1" applyAlignment="1" applyProtection="1">
      <alignment horizontal="center"/>
      <protection hidden="1"/>
    </xf>
    <xf numFmtId="20" fontId="3" fillId="6" borderId="1" xfId="0" applyNumberFormat="1" applyFont="1" applyFill="1" applyBorder="1" applyAlignment="1" applyProtection="1">
      <alignment horizontal="center"/>
      <protection locked="0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7" borderId="6" xfId="0" applyFont="1" applyFill="1" applyBorder="1" applyAlignment="1">
      <alignment horizontal="center"/>
    </xf>
    <xf numFmtId="0" fontId="3" fillId="7" borderId="7" xfId="0" applyFont="1" applyFill="1" applyBorder="1" applyAlignment="1">
      <alignment horizontal="center"/>
    </xf>
    <xf numFmtId="0" fontId="0" fillId="4" borderId="3" xfId="0" applyFill="1" applyBorder="1" applyAlignment="1" applyProtection="1">
      <alignment horizontal="center"/>
      <protection locked="0"/>
    </xf>
    <xf numFmtId="0" fontId="0" fillId="4" borderId="4" xfId="0" applyFill="1" applyBorder="1" applyAlignment="1" applyProtection="1">
      <alignment horizontal="center"/>
      <protection locked="0"/>
    </xf>
    <xf numFmtId="0" fontId="0" fillId="4" borderId="18" xfId="0" applyFill="1" applyBorder="1" applyAlignment="1">
      <alignment horizontal="left"/>
    </xf>
    <xf numFmtId="0" fontId="0" fillId="4" borderId="19" xfId="0" applyFill="1" applyBorder="1" applyAlignment="1">
      <alignment horizontal="left"/>
    </xf>
    <xf numFmtId="0" fontId="0" fillId="4" borderId="20" xfId="0" applyFill="1" applyBorder="1" applyAlignment="1">
      <alignment horizontal="left"/>
    </xf>
    <xf numFmtId="0" fontId="0" fillId="4" borderId="18" xfId="0" applyFont="1" applyFill="1" applyBorder="1" applyAlignment="1">
      <alignment horizontal="left"/>
    </xf>
    <xf numFmtId="0" fontId="0" fillId="4" borderId="19" xfId="0" applyFont="1" applyFill="1" applyBorder="1" applyAlignment="1">
      <alignment horizontal="left"/>
    </xf>
    <xf numFmtId="0" fontId="0" fillId="4" borderId="20" xfId="0" applyFont="1" applyFill="1" applyBorder="1" applyAlignment="1">
      <alignment horizontal="left"/>
    </xf>
    <xf numFmtId="0" fontId="0" fillId="4" borderId="21" xfId="0" applyFill="1" applyBorder="1" applyAlignment="1">
      <alignment horizontal="left"/>
    </xf>
    <xf numFmtId="0" fontId="0" fillId="4" borderId="22" xfId="0" applyFill="1" applyBorder="1" applyAlignment="1">
      <alignment horizontal="left"/>
    </xf>
    <xf numFmtId="0" fontId="0" fillId="4" borderId="23" xfId="0" applyFill="1" applyBorder="1" applyAlignment="1">
      <alignment horizontal="left"/>
    </xf>
    <xf numFmtId="0" fontId="3" fillId="7" borderId="3" xfId="0" applyFont="1" applyFill="1" applyBorder="1" applyAlignment="1">
      <alignment horizontal="center"/>
    </xf>
    <xf numFmtId="0" fontId="3" fillId="7" borderId="14" xfId="0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3" fillId="6" borderId="3" xfId="0" applyNumberFormat="1" applyFont="1" applyFill="1" applyBorder="1" applyAlignment="1" applyProtection="1">
      <alignment horizontal="center"/>
      <protection hidden="1"/>
    </xf>
    <xf numFmtId="0" fontId="3" fillId="6" borderId="4" xfId="0" applyNumberFormat="1" applyFont="1" applyFill="1" applyBorder="1" applyAlignment="1" applyProtection="1">
      <alignment horizontal="center"/>
      <protection hidden="1"/>
    </xf>
    <xf numFmtId="0" fontId="3" fillId="6" borderId="3" xfId="0" applyFont="1" applyFill="1" applyBorder="1" applyAlignment="1" applyProtection="1">
      <alignment horizontal="center"/>
      <protection hidden="1"/>
    </xf>
    <xf numFmtId="0" fontId="3" fillId="6" borderId="4" xfId="0" applyFont="1" applyFill="1" applyBorder="1" applyAlignment="1" applyProtection="1">
      <alignment horizontal="center"/>
      <protection hidden="1"/>
    </xf>
    <xf numFmtId="4" fontId="3" fillId="6" borderId="3" xfId="0" applyNumberFormat="1" applyFont="1" applyFill="1" applyBorder="1" applyAlignment="1" applyProtection="1">
      <alignment horizontal="center"/>
      <protection hidden="1"/>
    </xf>
    <xf numFmtId="4" fontId="3" fillId="6" borderId="4" xfId="0" applyNumberFormat="1" applyFont="1" applyFill="1" applyBorder="1" applyAlignment="1" applyProtection="1">
      <alignment horizontal="center"/>
      <protection hidden="1"/>
    </xf>
    <xf numFmtId="0" fontId="0" fillId="4" borderId="10" xfId="0" applyFont="1" applyFill="1" applyBorder="1" applyAlignment="1" applyProtection="1">
      <alignment horizontal="center"/>
      <protection locked="0"/>
    </xf>
    <xf numFmtId="0" fontId="0" fillId="4" borderId="2" xfId="0" applyFont="1" applyFill="1" applyBorder="1" applyAlignment="1" applyProtection="1">
      <alignment horizontal="center"/>
      <protection locked="0"/>
    </xf>
    <xf numFmtId="0" fontId="0" fillId="4" borderId="11" xfId="0" applyFont="1" applyFill="1" applyBorder="1" applyAlignment="1" applyProtection="1">
      <alignment horizontal="center"/>
      <protection locked="0"/>
    </xf>
    <xf numFmtId="0" fontId="0" fillId="4" borderId="15" xfId="0" applyFill="1" applyBorder="1" applyAlignment="1">
      <alignment horizontal="left"/>
    </xf>
    <xf numFmtId="0" fontId="0" fillId="4" borderId="16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14" fontId="3" fillId="6" borderId="3" xfId="0" applyNumberFormat="1" applyFont="1" applyFill="1" applyBorder="1" applyAlignment="1" applyProtection="1">
      <alignment horizontal="center"/>
      <protection hidden="1"/>
    </xf>
    <xf numFmtId="0" fontId="0" fillId="4" borderId="8" xfId="0" applyFont="1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horizontal="center"/>
      <protection locked="0"/>
    </xf>
    <xf numFmtId="0" fontId="0" fillId="4" borderId="9" xfId="0" applyFont="1" applyFill="1" applyBorder="1" applyAlignment="1" applyProtection="1">
      <alignment horizontal="center"/>
      <protection locked="0"/>
    </xf>
    <xf numFmtId="0" fontId="3" fillId="7" borderId="3" xfId="0" applyFont="1" applyFill="1" applyBorder="1" applyAlignment="1" applyProtection="1">
      <alignment horizontal="center"/>
    </xf>
    <xf numFmtId="0" fontId="3" fillId="7" borderId="14" xfId="0" applyFont="1" applyFill="1" applyBorder="1" applyAlignment="1" applyProtection="1">
      <alignment horizontal="center"/>
    </xf>
    <xf numFmtId="0" fontId="3" fillId="7" borderId="4" xfId="0" applyFont="1" applyFill="1" applyBorder="1" applyAlignment="1" applyProtection="1">
      <alignment horizontal="center"/>
    </xf>
    <xf numFmtId="0" fontId="0" fillId="4" borderId="5" xfId="0" applyFont="1" applyFill="1" applyBorder="1" applyAlignment="1" applyProtection="1">
      <alignment horizontal="center"/>
      <protection locked="0"/>
    </xf>
    <xf numFmtId="0" fontId="0" fillId="4" borderId="6" xfId="0" applyFont="1" applyFill="1" applyBorder="1" applyAlignment="1" applyProtection="1">
      <alignment horizontal="center"/>
      <protection locked="0"/>
    </xf>
    <xf numFmtId="0" fontId="0" fillId="4" borderId="7" xfId="0" applyFont="1" applyFill="1" applyBorder="1" applyAlignment="1" applyProtection="1">
      <alignment horizontal="center"/>
      <protection locked="0"/>
    </xf>
    <xf numFmtId="0" fontId="0" fillId="0" borderId="8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165" fontId="0" fillId="4" borderId="8" xfId="0" applyNumberFormat="1" applyFont="1" applyFill="1" applyBorder="1" applyAlignment="1">
      <alignment horizontal="center" vertical="top" wrapText="1"/>
    </xf>
    <xf numFmtId="165" fontId="0" fillId="4" borderId="0" xfId="0" applyNumberFormat="1" applyFont="1" applyFill="1" applyBorder="1" applyAlignment="1">
      <alignment horizontal="center" vertical="top" wrapText="1"/>
    </xf>
    <xf numFmtId="165" fontId="0" fillId="4" borderId="9" xfId="0" applyNumberFormat="1" applyFont="1" applyFill="1" applyBorder="1" applyAlignment="1">
      <alignment horizontal="center" vertical="top" wrapText="1"/>
    </xf>
    <xf numFmtId="165" fontId="0" fillId="4" borderId="10" xfId="0" applyNumberFormat="1" applyFont="1" applyFill="1" applyBorder="1" applyAlignment="1">
      <alignment horizontal="center" vertical="top" wrapText="1"/>
    </xf>
    <xf numFmtId="165" fontId="0" fillId="4" borderId="2" xfId="0" applyNumberFormat="1" applyFont="1" applyFill="1" applyBorder="1" applyAlignment="1">
      <alignment horizontal="center" vertical="top" wrapText="1"/>
    </xf>
    <xf numFmtId="165" fontId="0" fillId="4" borderId="11" xfId="0" applyNumberFormat="1" applyFont="1" applyFill="1" applyBorder="1" applyAlignment="1">
      <alignment horizontal="center" vertical="top" wrapText="1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1" xfId="0" applyBorder="1" applyAlignment="1">
      <alignment horizontal="left"/>
    </xf>
    <xf numFmtId="165" fontId="0" fillId="4" borderId="5" xfId="0" applyNumberFormat="1" applyFont="1" applyFill="1" applyBorder="1" applyAlignment="1">
      <alignment horizontal="center" vertical="top" wrapText="1"/>
    </xf>
    <xf numFmtId="165" fontId="0" fillId="4" borderId="6" xfId="0" applyNumberFormat="1" applyFont="1" applyFill="1" applyBorder="1" applyAlignment="1">
      <alignment horizontal="center" vertical="top" wrapText="1"/>
    </xf>
    <xf numFmtId="165" fontId="0" fillId="4" borderId="7" xfId="0" applyNumberFormat="1" applyFont="1" applyFill="1" applyBorder="1" applyAlignment="1">
      <alignment horizontal="center" vertical="top" wrapText="1"/>
    </xf>
    <xf numFmtId="0" fontId="0" fillId="7" borderId="1" xfId="0" applyFill="1" applyBorder="1" applyAlignment="1">
      <alignment horizontal="center"/>
    </xf>
  </cellXfs>
  <cellStyles count="2">
    <cellStyle name="Neutralny" xfId="1" builtinId="28"/>
    <cellStyle name="Normalny" xfId="0" builtinId="0"/>
  </cellStyles>
  <dxfs count="0"/>
  <tableStyles count="0" defaultTableStyle="TableStyleMedium2" defaultPivotStyle="PivotStyleLight16"/>
  <colors>
    <mruColors>
      <color rgb="FF9B9BFF"/>
      <color rgb="FF7575FF"/>
      <color rgb="FFFFD89F"/>
      <color rgb="FFFFAE37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24</xdr:row>
      <xdr:rowOff>9525</xdr:rowOff>
    </xdr:from>
    <xdr:to>
      <xdr:col>1</xdr:col>
      <xdr:colOff>1703849</xdr:colOff>
      <xdr:row>26</xdr:row>
      <xdr:rowOff>46125</xdr:rowOff>
    </xdr:to>
    <xdr:sp macro="[0]!Save_a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4324" y="5000625"/>
          <a:ext cx="1684800" cy="417600"/>
        </a:xfrm>
        <a:prstGeom prst="roundRect">
          <a:avLst/>
        </a:prstGeom>
        <a:solidFill>
          <a:srgbClr val="7575FF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chemeClr val="bg1"/>
              </a:solidFill>
              <a:latin typeface="+mn-lt"/>
            </a:rPr>
            <a:t>Save worksheet</a:t>
          </a:r>
          <a:r>
            <a:rPr lang="pl-PL" sz="1100"/>
            <a:t>	</a:t>
          </a:r>
          <a:endParaRPr lang="en-US" sz="1100"/>
        </a:p>
      </xdr:txBody>
    </xdr:sp>
    <xdr:clientData/>
  </xdr:twoCellAnchor>
  <xdr:twoCellAnchor>
    <xdr:from>
      <xdr:col>1</xdr:col>
      <xdr:colOff>19050</xdr:colOff>
      <xdr:row>27</xdr:row>
      <xdr:rowOff>0</xdr:rowOff>
    </xdr:from>
    <xdr:to>
      <xdr:col>1</xdr:col>
      <xdr:colOff>1704976</xdr:colOff>
      <xdr:row>29</xdr:row>
      <xdr:rowOff>38100</xdr:rowOff>
    </xdr:to>
    <xdr:sp macro="[0]!Move_To_Shipment_Counte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14325" y="5362575"/>
          <a:ext cx="1685926" cy="419100"/>
        </a:xfrm>
        <a:prstGeom prst="roundRect">
          <a:avLst/>
        </a:prstGeom>
        <a:solidFill>
          <a:srgbClr val="7575FF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latin typeface="+mn-lt"/>
            </a:rPr>
            <a:t>Go to shipment counter </a:t>
          </a:r>
          <a:endParaRPr lang="en-US" sz="1100" b="1">
            <a:latin typeface="+mn-lt"/>
          </a:endParaRPr>
        </a:p>
      </xdr:txBody>
    </xdr:sp>
    <xdr:clientData/>
  </xdr:twoCellAnchor>
  <xdr:twoCellAnchor>
    <xdr:from>
      <xdr:col>1</xdr:col>
      <xdr:colOff>33618</xdr:colOff>
      <xdr:row>30</xdr:row>
      <xdr:rowOff>0</xdr:rowOff>
    </xdr:from>
    <xdr:to>
      <xdr:col>1</xdr:col>
      <xdr:colOff>1716114</xdr:colOff>
      <xdr:row>32</xdr:row>
      <xdr:rowOff>39624</xdr:rowOff>
    </xdr:to>
    <xdr:sp macro="[0]!Mail_Selection_Range_Outlook_Body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4971" y="5972735"/>
          <a:ext cx="1682496" cy="420624"/>
        </a:xfrm>
        <a:prstGeom prst="roundRect">
          <a:avLst/>
        </a:prstGeom>
        <a:solidFill>
          <a:srgbClr val="7575FF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latin typeface="+mn-lt"/>
            </a:rPr>
            <a:t>Send Email</a:t>
          </a:r>
          <a:endParaRPr lang="en-US" sz="1100" b="1">
            <a:latin typeface="+mn-lt"/>
          </a:endParaRPr>
        </a:p>
      </xdr:txBody>
    </xdr:sp>
    <xdr:clientData/>
  </xdr:twoCellAnchor>
  <xdr:twoCellAnchor>
    <xdr:from>
      <xdr:col>17</xdr:col>
      <xdr:colOff>542925</xdr:colOff>
      <xdr:row>32</xdr:row>
      <xdr:rowOff>47625</xdr:rowOff>
    </xdr:from>
    <xdr:to>
      <xdr:col>19</xdr:col>
      <xdr:colOff>85725</xdr:colOff>
      <xdr:row>34</xdr:row>
      <xdr:rowOff>9525</xdr:rowOff>
    </xdr:to>
    <xdr:sp macro="[0]!Reset_Click2" textlink="">
      <xdr:nvSpPr>
        <xdr:cNvPr id="5" name="Prostokąt: zaokrąglone rogi 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553950" y="6362700"/>
          <a:ext cx="2190750" cy="342900"/>
        </a:xfrm>
        <a:prstGeom prst="roundRect">
          <a:avLst/>
        </a:prstGeom>
        <a:solidFill>
          <a:srgbClr val="FFD89F"/>
        </a:soli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         </a:t>
          </a:r>
          <a:r>
            <a:rPr lang="pl-PL" sz="1100" b="1">
              <a:solidFill>
                <a:schemeClr val="tx1">
                  <a:lumMod val="95000"/>
                  <a:lumOff val="5000"/>
                </a:schemeClr>
              </a:solidFill>
            </a:rPr>
            <a:t>Reset</a:t>
          </a:r>
          <a:r>
            <a:rPr lang="pl-PL" sz="1100"/>
            <a:t>	</a:t>
          </a:r>
        </a:p>
      </xdr:txBody>
    </xdr:sp>
    <xdr:clientData/>
  </xdr:twoCellAnchor>
  <xdr:twoCellAnchor editAs="oneCell">
    <xdr:from>
      <xdr:col>21</xdr:col>
      <xdr:colOff>300567</xdr:colOff>
      <xdr:row>3</xdr:row>
      <xdr:rowOff>1</xdr:rowOff>
    </xdr:from>
    <xdr:to>
      <xdr:col>24</xdr:col>
      <xdr:colOff>276226</xdr:colOff>
      <xdr:row>7</xdr:row>
      <xdr:rowOff>177405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26367" y="600076"/>
          <a:ext cx="1737784" cy="9775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24</xdr:row>
      <xdr:rowOff>9525</xdr:rowOff>
    </xdr:from>
    <xdr:to>
      <xdr:col>1</xdr:col>
      <xdr:colOff>1703849</xdr:colOff>
      <xdr:row>26</xdr:row>
      <xdr:rowOff>46125</xdr:rowOff>
    </xdr:to>
    <xdr:sp macro="[0]!Save_a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14324" y="5000625"/>
          <a:ext cx="1684800" cy="417600"/>
        </a:xfrm>
        <a:prstGeom prst="roundRect">
          <a:avLst/>
        </a:prstGeom>
        <a:solidFill>
          <a:srgbClr val="7575FF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Save </a:t>
          </a:r>
          <a:r>
            <a:rPr lang="pl-PL" sz="1100">
              <a:latin typeface="+mn-lt"/>
            </a:rPr>
            <a:t>worksheet</a:t>
          </a:r>
          <a:r>
            <a:rPr lang="pl-PL" sz="1100"/>
            <a:t>	</a:t>
          </a:r>
          <a:endParaRPr lang="en-US" sz="1100"/>
        </a:p>
      </xdr:txBody>
    </xdr:sp>
    <xdr:clientData/>
  </xdr:twoCellAnchor>
  <xdr:twoCellAnchor>
    <xdr:from>
      <xdr:col>1</xdr:col>
      <xdr:colOff>19050</xdr:colOff>
      <xdr:row>27</xdr:row>
      <xdr:rowOff>0</xdr:rowOff>
    </xdr:from>
    <xdr:to>
      <xdr:col>1</xdr:col>
      <xdr:colOff>1704976</xdr:colOff>
      <xdr:row>29</xdr:row>
      <xdr:rowOff>38100</xdr:rowOff>
    </xdr:to>
    <xdr:sp macro="[0]!Move_To_Shipment_Counte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14325" y="5562600"/>
          <a:ext cx="1685926" cy="419100"/>
        </a:xfrm>
        <a:prstGeom prst="roundRect">
          <a:avLst/>
        </a:prstGeom>
        <a:solidFill>
          <a:srgbClr val="7575FF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Go to shipment counter </a:t>
          </a:r>
          <a:endParaRPr lang="en-US" sz="1100"/>
        </a:p>
      </xdr:txBody>
    </xdr:sp>
    <xdr:clientData/>
  </xdr:twoCellAnchor>
  <xdr:twoCellAnchor>
    <xdr:from>
      <xdr:col>1</xdr:col>
      <xdr:colOff>33618</xdr:colOff>
      <xdr:row>30</xdr:row>
      <xdr:rowOff>0</xdr:rowOff>
    </xdr:from>
    <xdr:to>
      <xdr:col>1</xdr:col>
      <xdr:colOff>1716114</xdr:colOff>
      <xdr:row>32</xdr:row>
      <xdr:rowOff>39624</xdr:rowOff>
    </xdr:to>
    <xdr:sp macro="[0]!Mail_Selection_Range_Outlook_Body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28893" y="6134100"/>
          <a:ext cx="1682496" cy="420624"/>
        </a:xfrm>
        <a:prstGeom prst="roundRect">
          <a:avLst/>
        </a:prstGeom>
        <a:solidFill>
          <a:srgbClr val="7575FF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Send Email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9524</xdr:colOff>
      <xdr:row>7</xdr:row>
      <xdr:rowOff>28575</xdr:rowOff>
    </xdr:from>
    <xdr:to>
      <xdr:col>11</xdr:col>
      <xdr:colOff>590549</xdr:colOff>
      <xdr:row>11</xdr:row>
      <xdr:rowOff>0</xdr:rowOff>
    </xdr:to>
    <xdr:sp macro="[0]!Add_Click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67399" y="1362075"/>
          <a:ext cx="1800225" cy="733425"/>
        </a:xfrm>
        <a:prstGeom prst="roundRect">
          <a:avLst/>
        </a:prstGeom>
        <a:solidFill>
          <a:srgbClr val="7575FF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  </a:t>
          </a:r>
          <a:r>
            <a:rPr lang="pl-PL" sz="1100" b="1"/>
            <a:t>Add shipment	</a:t>
          </a:r>
        </a:p>
      </xdr:txBody>
    </xdr:sp>
    <xdr:clientData/>
  </xdr:twoCellAnchor>
  <xdr:twoCellAnchor>
    <xdr:from>
      <xdr:col>9</xdr:col>
      <xdr:colOff>9525</xdr:colOff>
      <xdr:row>16</xdr:row>
      <xdr:rowOff>9526</xdr:rowOff>
    </xdr:from>
    <xdr:to>
      <xdr:col>11</xdr:col>
      <xdr:colOff>600075</xdr:colOff>
      <xdr:row>17</xdr:row>
      <xdr:rowOff>161926</xdr:rowOff>
    </xdr:to>
    <xdr:sp macro="[0]!Reset_Click" textlink="">
      <xdr:nvSpPr>
        <xdr:cNvPr id="3" name="Prostokąt: zaokrąglone rogi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867400" y="3076576"/>
          <a:ext cx="1809750" cy="342900"/>
        </a:xfrm>
        <a:prstGeom prst="roundRect">
          <a:avLst/>
        </a:prstGeom>
        <a:solidFill>
          <a:srgbClr val="FFD89F"/>
        </a:soli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         </a:t>
          </a:r>
          <a:r>
            <a:rPr lang="pl-PL" sz="1100" b="1">
              <a:solidFill>
                <a:schemeClr val="tx1">
                  <a:lumMod val="95000"/>
                  <a:lumOff val="5000"/>
                </a:schemeClr>
              </a:solidFill>
            </a:rPr>
            <a:t>Reset</a:t>
          </a:r>
          <a:r>
            <a:rPr lang="pl-PL" sz="1100"/>
            <a:t>	</a:t>
          </a:r>
        </a:p>
      </xdr:txBody>
    </xdr:sp>
    <xdr:clientData/>
  </xdr:twoCellAnchor>
  <xdr:twoCellAnchor>
    <xdr:from>
      <xdr:col>13</xdr:col>
      <xdr:colOff>19049</xdr:colOff>
      <xdr:row>11</xdr:row>
      <xdr:rowOff>114300</xdr:rowOff>
    </xdr:from>
    <xdr:to>
      <xdr:col>16</xdr:col>
      <xdr:colOff>28574</xdr:colOff>
      <xdr:row>13</xdr:row>
      <xdr:rowOff>25146</xdr:rowOff>
    </xdr:to>
    <xdr:sp macro="[0]!Move_To_Daily_Figures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0706099" y="2209800"/>
          <a:ext cx="1838325" cy="310896"/>
        </a:xfrm>
        <a:prstGeom prst="roundRect">
          <a:avLst/>
        </a:prstGeom>
        <a:solidFill>
          <a:srgbClr val="7575FF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Go to Daily</a:t>
          </a:r>
          <a:r>
            <a:rPr lang="pl-PL" sz="1100" b="1" baseline="0"/>
            <a:t> Figures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KX409"/>
  <sheetViews>
    <sheetView tabSelected="1" zoomScaleNormal="100" workbookViewId="0">
      <selection activeCell="B12" sqref="B12"/>
    </sheetView>
  </sheetViews>
  <sheetFormatPr defaultRowHeight="15" x14ac:dyDescent="0.25"/>
  <cols>
    <col min="1" max="1" width="4.42578125" style="9" customWidth="1"/>
    <col min="2" max="2" width="33.85546875" bestFit="1" customWidth="1"/>
    <col min="3" max="4" width="11.42578125" customWidth="1"/>
    <col min="5" max="6" width="9.140625" style="9"/>
    <col min="12" max="12" width="9.140625" customWidth="1"/>
    <col min="19" max="19" width="30.5703125" customWidth="1"/>
    <col min="20" max="20" width="10" style="9" customWidth="1"/>
    <col min="21" max="22" width="9.140625" style="9"/>
    <col min="23" max="23" width="6.5703125" style="9" bestFit="1" customWidth="1"/>
    <col min="24" max="24" width="10.7109375" style="9" bestFit="1" customWidth="1"/>
    <col min="25" max="171" width="9.140625" style="9"/>
  </cols>
  <sheetData>
    <row r="1" spans="1:310" s="1" customFormat="1" ht="15.75" thickBot="1" x14ac:dyDescent="0.3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</row>
    <row r="2" spans="1:310" ht="15.75" thickBot="1" x14ac:dyDescent="0.3">
      <c r="B2" s="45" t="s">
        <v>16</v>
      </c>
      <c r="C2" s="46"/>
      <c r="D2" s="47"/>
      <c r="G2" s="59" t="s">
        <v>33</v>
      </c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1"/>
      <c r="W2" s="28" t="s">
        <v>48</v>
      </c>
      <c r="X2" s="29">
        <v>44600</v>
      </c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</row>
    <row r="3" spans="1:310" ht="15.75" thickBot="1" x14ac:dyDescent="0.3">
      <c r="B3" s="15" t="s">
        <v>0</v>
      </c>
      <c r="C3" s="78">
        <f ca="1">TODAY()-1</f>
        <v>44687</v>
      </c>
      <c r="D3" s="69"/>
      <c r="G3" s="75" t="s">
        <v>39</v>
      </c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7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</row>
    <row r="4" spans="1:310" ht="15.75" thickBot="1" x14ac:dyDescent="0.3">
      <c r="B4" s="64" t="s">
        <v>1</v>
      </c>
      <c r="C4" s="24" t="s">
        <v>9</v>
      </c>
      <c r="D4" s="24" t="s">
        <v>10</v>
      </c>
      <c r="G4" s="50" t="s">
        <v>42</v>
      </c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2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</row>
    <row r="5" spans="1:310" ht="15.75" thickBot="1" x14ac:dyDescent="0.3">
      <c r="B5" s="65"/>
      <c r="C5" s="41">
        <f>IF(C22&gt;0.260416666666667,C22,dummy!D26+C17/24)</f>
        <v>0.91666666666666663</v>
      </c>
      <c r="D5" s="41">
        <f>IF(AND(C14&gt;0,D20&lt;&gt;0.260416666666667),dummy!C5+((C8+0.75+C14+C16)/24),dummy!C5+((C8+0.75+C16)/24))</f>
        <v>0.94791666666666663</v>
      </c>
      <c r="G5" s="50" t="s">
        <v>47</v>
      </c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2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</row>
    <row r="6" spans="1:310" ht="15.75" thickBot="1" x14ac:dyDescent="0.3">
      <c r="B6" s="15" t="s">
        <v>2</v>
      </c>
      <c r="C6" s="48">
        <v>0</v>
      </c>
      <c r="D6" s="49"/>
      <c r="G6" s="50" t="s">
        <v>41</v>
      </c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2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</row>
    <row r="7" spans="1:310" ht="15.75" thickBot="1" x14ac:dyDescent="0.3">
      <c r="B7" s="15" t="s">
        <v>3</v>
      </c>
      <c r="C7" s="48">
        <v>0</v>
      </c>
      <c r="D7" s="49"/>
      <c r="G7" s="50" t="s">
        <v>49</v>
      </c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2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</row>
    <row r="8" spans="1:310" ht="15.75" thickBot="1" x14ac:dyDescent="0.3">
      <c r="B8" s="15" t="s">
        <v>40</v>
      </c>
      <c r="C8" s="68">
        <f>IF(C13&gt;0,SUM(C6:C7)+C13-C17+C18-C13,SUM(C6:C7)+C13-C17+C18)</f>
        <v>0</v>
      </c>
      <c r="D8" s="69"/>
      <c r="G8" s="50" t="s">
        <v>13</v>
      </c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2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</row>
    <row r="9" spans="1:310" ht="15.75" thickBot="1" x14ac:dyDescent="0.3">
      <c r="B9" s="15" t="s">
        <v>4</v>
      </c>
      <c r="C9" s="68">
        <f>'Shipment counter'!L13</f>
        <v>0</v>
      </c>
      <c r="D9" s="69"/>
      <c r="G9" s="50" t="s">
        <v>14</v>
      </c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2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</row>
    <row r="10" spans="1:310" ht="15.75" thickBot="1" x14ac:dyDescent="0.3">
      <c r="B10" s="15" t="s">
        <v>5</v>
      </c>
      <c r="C10" s="48">
        <v>0</v>
      </c>
      <c r="D10" s="49"/>
      <c r="G10" s="50" t="s">
        <v>15</v>
      </c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2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</row>
    <row r="11" spans="1:310" ht="15.75" thickBot="1" x14ac:dyDescent="0.3">
      <c r="B11" s="15" t="s">
        <v>6</v>
      </c>
      <c r="C11" s="68">
        <f>SUM(C9:C10)</f>
        <v>0</v>
      </c>
      <c r="D11" s="69"/>
      <c r="G11" s="50" t="s">
        <v>46</v>
      </c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2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</row>
    <row r="12" spans="1:310" ht="15.75" thickBot="1" x14ac:dyDescent="0.3">
      <c r="B12" s="15" t="s">
        <v>7</v>
      </c>
      <c r="C12" s="70" t="str">
        <f>IFERROR(C11/C8,"-")</f>
        <v>-</v>
      </c>
      <c r="D12" s="71"/>
      <c r="G12" s="50" t="s">
        <v>18</v>
      </c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2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</row>
    <row r="13" spans="1:310" ht="15.75" thickBot="1" x14ac:dyDescent="0.3">
      <c r="B13" s="15" t="s">
        <v>29</v>
      </c>
      <c r="C13" s="48">
        <v>0</v>
      </c>
      <c r="D13" s="49"/>
      <c r="G13" s="50" t="s">
        <v>20</v>
      </c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2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</row>
    <row r="14" spans="1:310" ht="15.75" thickBot="1" x14ac:dyDescent="0.3">
      <c r="B14" s="15" t="s">
        <v>8</v>
      </c>
      <c r="C14" s="66">
        <f>IF(D20&gt;=C20,D20-C20,D20+1-C20)*24</f>
        <v>0</v>
      </c>
      <c r="D14" s="67"/>
      <c r="G14" s="50" t="s">
        <v>44</v>
      </c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2"/>
      <c r="T14" s="1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</row>
    <row r="15" spans="1:310" ht="15.75" thickBot="1" x14ac:dyDescent="0.3">
      <c r="B15" s="15" t="s">
        <v>30</v>
      </c>
      <c r="C15" s="66">
        <f>IF(D22&gt;=C22,D22-C22,D22+1-C22)*24</f>
        <v>0</v>
      </c>
      <c r="D15" s="67"/>
      <c r="G15" s="53" t="s">
        <v>28</v>
      </c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5"/>
      <c r="T15" s="1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</row>
    <row r="16" spans="1:310" ht="15.75" thickBot="1" x14ac:dyDescent="0.3">
      <c r="B16" s="15" t="s">
        <v>31</v>
      </c>
      <c r="C16" s="48">
        <v>0</v>
      </c>
      <c r="D16" s="49"/>
      <c r="G16" s="56" t="s">
        <v>43</v>
      </c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8"/>
      <c r="T16" s="1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</row>
    <row r="17" spans="1:310" ht="15.75" thickBot="1" x14ac:dyDescent="0.3">
      <c r="B17" s="15" t="s">
        <v>21</v>
      </c>
      <c r="C17" s="48">
        <v>0</v>
      </c>
      <c r="D17" s="49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</row>
    <row r="18" spans="1:310" ht="15.75" thickBot="1" x14ac:dyDescent="0.3">
      <c r="B18" s="15" t="s">
        <v>22</v>
      </c>
      <c r="C18" s="48">
        <v>0</v>
      </c>
      <c r="D18" s="49"/>
      <c r="F18" s="34"/>
      <c r="G18" s="82" t="s">
        <v>45</v>
      </c>
      <c r="H18" s="83"/>
      <c r="I18" s="83"/>
      <c r="J18" s="83"/>
      <c r="K18" s="83"/>
      <c r="L18" s="84"/>
      <c r="M18" s="36"/>
      <c r="N18" s="36"/>
      <c r="O18" s="36"/>
      <c r="P18" s="36"/>
      <c r="Q18" s="36"/>
      <c r="R18" s="36"/>
      <c r="S18" s="36"/>
      <c r="T18" s="37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</row>
    <row r="19" spans="1:310" ht="15.75" customHeight="1" thickBot="1" x14ac:dyDescent="0.3">
      <c r="B19" s="64" t="s">
        <v>17</v>
      </c>
      <c r="C19" s="24" t="s">
        <v>9</v>
      </c>
      <c r="D19" s="24" t="s">
        <v>10</v>
      </c>
      <c r="F19" s="34"/>
      <c r="G19" s="85"/>
      <c r="H19" s="86"/>
      <c r="I19" s="86"/>
      <c r="J19" s="86"/>
      <c r="K19" s="86"/>
      <c r="L19" s="87"/>
      <c r="M19" s="38"/>
      <c r="N19" s="38"/>
      <c r="O19" s="38"/>
      <c r="P19" s="38"/>
      <c r="Q19" s="38"/>
      <c r="R19" s="38"/>
      <c r="S19" s="38"/>
      <c r="T19" s="37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</row>
    <row r="20" spans="1:310" ht="15.75" thickBot="1" x14ac:dyDescent="0.3">
      <c r="B20" s="65"/>
      <c r="C20" s="14">
        <v>0</v>
      </c>
      <c r="D20" s="14">
        <v>0</v>
      </c>
      <c r="F20" s="34"/>
      <c r="G20" s="79"/>
      <c r="H20" s="80"/>
      <c r="I20" s="80"/>
      <c r="J20" s="80"/>
      <c r="K20" s="80"/>
      <c r="L20" s="81"/>
      <c r="M20" s="38"/>
      <c r="N20" s="38"/>
      <c r="O20" s="38"/>
      <c r="P20" s="38"/>
      <c r="Q20" s="38"/>
      <c r="R20" s="38"/>
      <c r="S20" s="38"/>
      <c r="T20" s="37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</row>
    <row r="21" spans="1:310" ht="15.75" thickBot="1" x14ac:dyDescent="0.3">
      <c r="B21" s="62" t="s">
        <v>19</v>
      </c>
      <c r="C21" s="24" t="s">
        <v>9</v>
      </c>
      <c r="D21" s="24" t="s">
        <v>10</v>
      </c>
      <c r="F21" s="34"/>
      <c r="G21" s="79"/>
      <c r="H21" s="80"/>
      <c r="I21" s="80"/>
      <c r="J21" s="80"/>
      <c r="K21" s="80"/>
      <c r="L21" s="81"/>
      <c r="M21" s="39"/>
      <c r="N21" s="39"/>
      <c r="O21" s="39"/>
      <c r="P21" s="39"/>
      <c r="Q21" s="39"/>
      <c r="R21" s="39"/>
      <c r="S21" s="39"/>
      <c r="T21" s="37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</row>
    <row r="22" spans="1:310" ht="15.75" customHeight="1" thickBot="1" x14ac:dyDescent="0.3">
      <c r="B22" s="63"/>
      <c r="C22" s="14">
        <v>0</v>
      </c>
      <c r="D22" s="14">
        <v>0</v>
      </c>
      <c r="F22" s="34"/>
      <c r="G22" s="79"/>
      <c r="H22" s="80"/>
      <c r="I22" s="80"/>
      <c r="J22" s="80"/>
      <c r="K22" s="80"/>
      <c r="L22" s="81"/>
      <c r="M22" s="40"/>
      <c r="N22" s="40"/>
      <c r="O22" s="40"/>
      <c r="P22" s="40"/>
      <c r="Q22" s="40"/>
      <c r="R22" s="40"/>
      <c r="S22" s="40"/>
      <c r="T22" s="37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</row>
    <row r="23" spans="1:310" s="1" customFormat="1" x14ac:dyDescent="0.25">
      <c r="A23" s="9"/>
      <c r="B23" s="9"/>
      <c r="C23" s="9"/>
      <c r="D23" s="9"/>
      <c r="E23" s="9"/>
      <c r="F23" s="34"/>
      <c r="G23" s="79"/>
      <c r="H23" s="80"/>
      <c r="I23" s="80"/>
      <c r="J23" s="80"/>
      <c r="K23" s="80"/>
      <c r="L23" s="81"/>
      <c r="M23" s="40"/>
      <c r="N23" s="40"/>
      <c r="O23" s="40"/>
      <c r="P23" s="40"/>
      <c r="Q23" s="40"/>
      <c r="R23" s="40"/>
      <c r="S23" s="40"/>
      <c r="T23" s="37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</row>
    <row r="24" spans="1:310" s="1" customFormat="1" x14ac:dyDescent="0.25">
      <c r="A24" s="9"/>
      <c r="B24" s="9"/>
      <c r="C24" s="9"/>
      <c r="D24" s="9"/>
      <c r="E24" s="9"/>
      <c r="F24" s="34"/>
      <c r="G24" s="79"/>
      <c r="H24" s="80"/>
      <c r="I24" s="80"/>
      <c r="J24" s="80"/>
      <c r="K24" s="80"/>
      <c r="L24" s="81"/>
      <c r="M24" s="40"/>
      <c r="N24" s="40"/>
      <c r="O24" s="40"/>
      <c r="P24" s="40"/>
      <c r="Q24" s="40"/>
      <c r="R24" s="40"/>
      <c r="S24" s="40"/>
      <c r="T24" s="37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</row>
    <row r="25" spans="1:310" s="9" customFormat="1" x14ac:dyDescent="0.25">
      <c r="C25" s="32"/>
      <c r="D25" s="32"/>
      <c r="F25" s="34"/>
      <c r="G25" s="79"/>
      <c r="H25" s="80"/>
      <c r="I25" s="80"/>
      <c r="J25" s="80"/>
      <c r="K25" s="80"/>
      <c r="L25" s="81"/>
      <c r="M25" s="38"/>
      <c r="N25" s="37"/>
      <c r="O25" s="37"/>
      <c r="P25" s="37"/>
      <c r="Q25" s="37"/>
      <c r="R25" s="37"/>
      <c r="S25" s="37"/>
      <c r="T25" s="37"/>
    </row>
    <row r="26" spans="1:310" s="9" customFormat="1" x14ac:dyDescent="0.25">
      <c r="C26" s="32"/>
      <c r="D26" s="32"/>
      <c r="F26" s="34"/>
      <c r="G26" s="79"/>
      <c r="H26" s="80"/>
      <c r="I26" s="80"/>
      <c r="J26" s="80"/>
      <c r="K26" s="80"/>
      <c r="L26" s="81"/>
      <c r="M26" s="39"/>
      <c r="N26" s="37"/>
      <c r="O26" s="37"/>
      <c r="P26" s="37"/>
      <c r="Q26" s="37"/>
      <c r="R26" s="37"/>
      <c r="S26" s="37"/>
      <c r="T26" s="37"/>
    </row>
    <row r="27" spans="1:310" s="9" customFormat="1" x14ac:dyDescent="0.25">
      <c r="C27" s="32"/>
      <c r="D27" s="32"/>
      <c r="F27" s="34"/>
      <c r="G27" s="79"/>
      <c r="H27" s="80"/>
      <c r="I27" s="80"/>
      <c r="J27" s="80"/>
      <c r="K27" s="80"/>
      <c r="L27" s="81"/>
      <c r="M27" s="40"/>
      <c r="N27" s="37"/>
      <c r="O27" s="37"/>
      <c r="P27" s="37"/>
      <c r="Q27" s="37"/>
      <c r="R27" s="37"/>
      <c r="S27" s="37"/>
      <c r="T27" s="37"/>
    </row>
    <row r="28" spans="1:310" s="9" customFormat="1" ht="15.75" thickBot="1" x14ac:dyDescent="0.3">
      <c r="C28" s="32"/>
      <c r="D28" s="32"/>
      <c r="F28" s="34"/>
      <c r="G28" s="72"/>
      <c r="H28" s="73"/>
      <c r="I28" s="73"/>
      <c r="J28" s="73"/>
      <c r="K28" s="73"/>
      <c r="L28" s="74"/>
      <c r="M28" s="33"/>
    </row>
    <row r="29" spans="1:310" s="9" customFormat="1" x14ac:dyDescent="0.25">
      <c r="C29" s="32"/>
      <c r="D29" s="32"/>
      <c r="G29" s="33"/>
      <c r="H29" s="33"/>
      <c r="I29" s="33"/>
      <c r="J29" s="33"/>
    </row>
    <row r="30" spans="1:310" s="9" customFormat="1" x14ac:dyDescent="0.25">
      <c r="C30" s="32"/>
      <c r="D30" s="32"/>
    </row>
    <row r="31" spans="1:310" s="9" customFormat="1" x14ac:dyDescent="0.25">
      <c r="C31" s="32"/>
      <c r="D31" s="32"/>
    </row>
    <row r="32" spans="1:310" s="9" customFormat="1" x14ac:dyDescent="0.25">
      <c r="C32" s="32"/>
      <c r="D32" s="32"/>
    </row>
    <row r="33" spans="2:10" s="9" customFormat="1" x14ac:dyDescent="0.25">
      <c r="F33" s="32"/>
      <c r="J33" s="32"/>
    </row>
    <row r="34" spans="2:10" s="9" customFormat="1" x14ac:dyDescent="0.25"/>
    <row r="35" spans="2:10" s="9" customFormat="1" x14ac:dyDescent="0.25"/>
    <row r="36" spans="2:10" s="9" customFormat="1" x14ac:dyDescent="0.25"/>
    <row r="37" spans="2:10" s="9" customFormat="1" x14ac:dyDescent="0.25">
      <c r="D37" s="12"/>
    </row>
    <row r="38" spans="2:10" s="9" customFormat="1" x14ac:dyDescent="0.25">
      <c r="D38" s="10"/>
      <c r="E38" s="10"/>
    </row>
    <row r="39" spans="2:10" s="9" customFormat="1" x14ac:dyDescent="0.25"/>
    <row r="40" spans="2:10" s="9" customFormat="1" x14ac:dyDescent="0.25">
      <c r="D40" s="12"/>
    </row>
    <row r="41" spans="2:10" s="9" customFormat="1" ht="15.75" hidden="1" thickBot="1" x14ac:dyDescent="0.3">
      <c r="B41" s="43">
        <f>SUM(C6:C7)-C16+C13-C14+C15-C17+C18</f>
        <v>0</v>
      </c>
      <c r="C41" s="44"/>
    </row>
    <row r="42" spans="2:10" s="9" customFormat="1" x14ac:dyDescent="0.25"/>
    <row r="43" spans="2:10" s="9" customFormat="1" x14ac:dyDescent="0.25"/>
    <row r="44" spans="2:10" s="9" customFormat="1" x14ac:dyDescent="0.25"/>
    <row r="45" spans="2:10" s="9" customFormat="1" x14ac:dyDescent="0.25"/>
    <row r="46" spans="2:10" s="9" customFormat="1" x14ac:dyDescent="0.25"/>
    <row r="47" spans="2:10" s="9" customFormat="1" x14ac:dyDescent="0.25"/>
    <row r="48" spans="2:10" s="9" customFormat="1" x14ac:dyDescent="0.25"/>
    <row r="49" s="9" customFormat="1" x14ac:dyDescent="0.25"/>
    <row r="50" s="9" customFormat="1" x14ac:dyDescent="0.25"/>
    <row r="51" s="9" customFormat="1" x14ac:dyDescent="0.25"/>
    <row r="52" s="9" customFormat="1" x14ac:dyDescent="0.25"/>
    <row r="53" s="9" customFormat="1" x14ac:dyDescent="0.25"/>
    <row r="54" s="9" customFormat="1" x14ac:dyDescent="0.25"/>
    <row r="55" s="9" customFormat="1" x14ac:dyDescent="0.25"/>
    <row r="56" s="9" customFormat="1" x14ac:dyDescent="0.25"/>
    <row r="57" s="9" customFormat="1" x14ac:dyDescent="0.25"/>
    <row r="58" s="9" customFormat="1" x14ac:dyDescent="0.25"/>
    <row r="59" s="9" customFormat="1" x14ac:dyDescent="0.25"/>
    <row r="60" s="9" customFormat="1" x14ac:dyDescent="0.25"/>
    <row r="61" s="9" customFormat="1" x14ac:dyDescent="0.25"/>
    <row r="62" s="9" customFormat="1" x14ac:dyDescent="0.25"/>
    <row r="63" s="9" customFormat="1" x14ac:dyDescent="0.25"/>
    <row r="64" s="9" customFormat="1" x14ac:dyDescent="0.25"/>
    <row r="65" s="9" customFormat="1" x14ac:dyDescent="0.25"/>
    <row r="66" s="9" customFormat="1" x14ac:dyDescent="0.25"/>
    <row r="67" s="9" customFormat="1" x14ac:dyDescent="0.25"/>
    <row r="68" s="9" customFormat="1" x14ac:dyDescent="0.25"/>
    <row r="69" s="9" customFormat="1" x14ac:dyDescent="0.25"/>
    <row r="70" s="9" customFormat="1" x14ac:dyDescent="0.25"/>
    <row r="71" s="9" customFormat="1" x14ac:dyDescent="0.25"/>
    <row r="72" s="9" customFormat="1" x14ac:dyDescent="0.25"/>
    <row r="73" s="9" customFormat="1" x14ac:dyDescent="0.25"/>
    <row r="74" s="9" customFormat="1" x14ac:dyDescent="0.25"/>
    <row r="75" s="9" customFormat="1" x14ac:dyDescent="0.25"/>
    <row r="76" s="9" customFormat="1" x14ac:dyDescent="0.25"/>
    <row r="77" s="9" customFormat="1" x14ac:dyDescent="0.25"/>
    <row r="78" s="9" customFormat="1" x14ac:dyDescent="0.25"/>
    <row r="79" s="9" customFormat="1" x14ac:dyDescent="0.25"/>
    <row r="80" s="9" customFormat="1" x14ac:dyDescent="0.25"/>
    <row r="81" s="9" customFormat="1" x14ac:dyDescent="0.25"/>
    <row r="82" s="9" customFormat="1" x14ac:dyDescent="0.25"/>
    <row r="83" s="9" customFormat="1" x14ac:dyDescent="0.25"/>
    <row r="84" s="9" customFormat="1" x14ac:dyDescent="0.25"/>
    <row r="85" s="9" customFormat="1" x14ac:dyDescent="0.25"/>
    <row r="86" s="9" customFormat="1" x14ac:dyDescent="0.25"/>
    <row r="87" s="9" customFormat="1" x14ac:dyDescent="0.25"/>
    <row r="88" s="9" customFormat="1" x14ac:dyDescent="0.25"/>
    <row r="89" s="9" customFormat="1" x14ac:dyDescent="0.25"/>
    <row r="90" s="9" customFormat="1" x14ac:dyDescent="0.25"/>
    <row r="91" s="9" customFormat="1" x14ac:dyDescent="0.25"/>
    <row r="92" s="9" customFormat="1" x14ac:dyDescent="0.25"/>
    <row r="93" s="9" customFormat="1" x14ac:dyDescent="0.25"/>
    <row r="94" s="9" customFormat="1" x14ac:dyDescent="0.25"/>
    <row r="95" s="9" customFormat="1" x14ac:dyDescent="0.25"/>
    <row r="96" s="9" customFormat="1" x14ac:dyDescent="0.25"/>
    <row r="97" s="9" customFormat="1" x14ac:dyDescent="0.25"/>
    <row r="98" s="9" customFormat="1" x14ac:dyDescent="0.25"/>
    <row r="99" s="9" customFormat="1" x14ac:dyDescent="0.25"/>
    <row r="100" s="9" customFormat="1" x14ac:dyDescent="0.25"/>
    <row r="101" s="9" customFormat="1" x14ac:dyDescent="0.25"/>
    <row r="102" s="9" customFormat="1" x14ac:dyDescent="0.25"/>
    <row r="103" s="9" customFormat="1" x14ac:dyDescent="0.25"/>
    <row r="104" s="9" customFormat="1" x14ac:dyDescent="0.25"/>
    <row r="105" s="9" customFormat="1" x14ac:dyDescent="0.25"/>
    <row r="106" s="9" customFormat="1" x14ac:dyDescent="0.25"/>
    <row r="107" s="9" customFormat="1" x14ac:dyDescent="0.25"/>
    <row r="108" s="9" customFormat="1" x14ac:dyDescent="0.25"/>
    <row r="109" s="9" customFormat="1" x14ac:dyDescent="0.25"/>
    <row r="110" s="9" customFormat="1" x14ac:dyDescent="0.25"/>
    <row r="111" s="9" customFormat="1" x14ac:dyDescent="0.25"/>
    <row r="112" s="9" customFormat="1" x14ac:dyDescent="0.25"/>
    <row r="113" s="9" customFormat="1" x14ac:dyDescent="0.25"/>
    <row r="114" s="9" customFormat="1" x14ac:dyDescent="0.25"/>
    <row r="115" s="9" customFormat="1" x14ac:dyDescent="0.25"/>
    <row r="116" s="9" customFormat="1" x14ac:dyDescent="0.25"/>
    <row r="117" s="9" customFormat="1" x14ac:dyDescent="0.25"/>
    <row r="118" s="9" customFormat="1" x14ac:dyDescent="0.25"/>
    <row r="119" s="9" customFormat="1" x14ac:dyDescent="0.25"/>
    <row r="120" s="9" customFormat="1" x14ac:dyDescent="0.25"/>
    <row r="121" s="9" customFormat="1" x14ac:dyDescent="0.25"/>
    <row r="122" s="9" customFormat="1" x14ac:dyDescent="0.25"/>
    <row r="123" s="9" customFormat="1" x14ac:dyDescent="0.25"/>
    <row r="124" s="9" customFormat="1" x14ac:dyDescent="0.25"/>
    <row r="125" s="9" customFormat="1" x14ac:dyDescent="0.25"/>
    <row r="126" s="9" customFormat="1" x14ac:dyDescent="0.25"/>
    <row r="127" s="9" customFormat="1" x14ac:dyDescent="0.25"/>
    <row r="128" s="9" customFormat="1" x14ac:dyDescent="0.25"/>
    <row r="129" s="9" customFormat="1" x14ac:dyDescent="0.25"/>
    <row r="130" s="9" customFormat="1" x14ac:dyDescent="0.25"/>
    <row r="131" s="9" customFormat="1" x14ac:dyDescent="0.25"/>
    <row r="132" s="9" customFormat="1" x14ac:dyDescent="0.25"/>
    <row r="133" s="9" customFormat="1" x14ac:dyDescent="0.25"/>
    <row r="134" s="9" customFormat="1" x14ac:dyDescent="0.25"/>
    <row r="135" s="9" customFormat="1" x14ac:dyDescent="0.25"/>
    <row r="136" s="9" customFormat="1" x14ac:dyDescent="0.25"/>
    <row r="137" s="9" customFormat="1" x14ac:dyDescent="0.25"/>
    <row r="138" s="9" customFormat="1" x14ac:dyDescent="0.25"/>
    <row r="139" s="9" customFormat="1" x14ac:dyDescent="0.25"/>
    <row r="140" s="9" customFormat="1" x14ac:dyDescent="0.25"/>
    <row r="141" s="9" customFormat="1" x14ac:dyDescent="0.25"/>
    <row r="142" s="9" customFormat="1" x14ac:dyDescent="0.25"/>
    <row r="143" s="9" customFormat="1" x14ac:dyDescent="0.25"/>
    <row r="144" s="9" customFormat="1" x14ac:dyDescent="0.25"/>
    <row r="145" s="9" customFormat="1" x14ac:dyDescent="0.25"/>
    <row r="146" s="9" customFormat="1" x14ac:dyDescent="0.25"/>
    <row r="147" s="9" customFormat="1" x14ac:dyDescent="0.25"/>
    <row r="148" s="9" customFormat="1" x14ac:dyDescent="0.25"/>
    <row r="149" s="9" customFormat="1" x14ac:dyDescent="0.25"/>
    <row r="150" s="9" customFormat="1" x14ac:dyDescent="0.25"/>
    <row r="151" s="9" customFormat="1" x14ac:dyDescent="0.25"/>
    <row r="152" s="9" customFormat="1" x14ac:dyDescent="0.25"/>
    <row r="153" s="9" customFormat="1" x14ac:dyDescent="0.25"/>
    <row r="154" s="9" customFormat="1" x14ac:dyDescent="0.25"/>
    <row r="155" s="9" customFormat="1" x14ac:dyDescent="0.25"/>
    <row r="156" s="9" customFormat="1" x14ac:dyDescent="0.25"/>
    <row r="157" s="9" customFormat="1" x14ac:dyDescent="0.25"/>
    <row r="158" s="9" customFormat="1" x14ac:dyDescent="0.25"/>
    <row r="159" s="9" customFormat="1" x14ac:dyDescent="0.25"/>
    <row r="160" s="9" customFormat="1" x14ac:dyDescent="0.25"/>
    <row r="161" s="9" customFormat="1" x14ac:dyDescent="0.25"/>
    <row r="162" s="9" customFormat="1" x14ac:dyDescent="0.25"/>
    <row r="163" s="9" customFormat="1" x14ac:dyDescent="0.25"/>
    <row r="164" s="9" customFormat="1" x14ac:dyDescent="0.25"/>
    <row r="165" s="9" customFormat="1" x14ac:dyDescent="0.25"/>
    <row r="166" s="9" customFormat="1" x14ac:dyDescent="0.25"/>
    <row r="167" s="9" customFormat="1" x14ac:dyDescent="0.25"/>
    <row r="168" s="9" customFormat="1" x14ac:dyDescent="0.25"/>
    <row r="169" s="9" customFormat="1" x14ac:dyDescent="0.25"/>
    <row r="170" s="9" customFormat="1" x14ac:dyDescent="0.25"/>
    <row r="171" s="9" customFormat="1" x14ac:dyDescent="0.25"/>
    <row r="172" s="9" customFormat="1" x14ac:dyDescent="0.25"/>
    <row r="173" s="9" customFormat="1" x14ac:dyDescent="0.25"/>
    <row r="174" s="9" customFormat="1" x14ac:dyDescent="0.25"/>
    <row r="175" s="9" customFormat="1" x14ac:dyDescent="0.25"/>
    <row r="176" s="9" customFormat="1" x14ac:dyDescent="0.25"/>
    <row r="177" s="9" customFormat="1" x14ac:dyDescent="0.25"/>
    <row r="178" s="9" customFormat="1" x14ac:dyDescent="0.25"/>
    <row r="179" s="9" customFormat="1" x14ac:dyDescent="0.25"/>
    <row r="180" s="9" customFormat="1" x14ac:dyDescent="0.25"/>
    <row r="181" s="9" customFormat="1" x14ac:dyDescent="0.25"/>
    <row r="182" s="9" customFormat="1" x14ac:dyDescent="0.25"/>
    <row r="183" s="9" customFormat="1" x14ac:dyDescent="0.25"/>
    <row r="184" s="9" customFormat="1" x14ac:dyDescent="0.25"/>
    <row r="185" s="9" customFormat="1" x14ac:dyDescent="0.25"/>
    <row r="186" s="9" customFormat="1" x14ac:dyDescent="0.25"/>
    <row r="187" s="9" customFormat="1" x14ac:dyDescent="0.25"/>
    <row r="188" s="9" customFormat="1" x14ac:dyDescent="0.25"/>
    <row r="189" s="9" customFormat="1" x14ac:dyDescent="0.25"/>
    <row r="190" s="9" customFormat="1" x14ac:dyDescent="0.25"/>
    <row r="191" s="9" customFormat="1" x14ac:dyDescent="0.25"/>
    <row r="192" s="9" customFormat="1" x14ac:dyDescent="0.25"/>
    <row r="193" s="9" customFormat="1" x14ac:dyDescent="0.25"/>
    <row r="194" s="9" customFormat="1" x14ac:dyDescent="0.25"/>
    <row r="195" s="9" customFormat="1" x14ac:dyDescent="0.25"/>
    <row r="196" s="9" customFormat="1" x14ac:dyDescent="0.25"/>
    <row r="197" s="9" customFormat="1" x14ac:dyDescent="0.25"/>
    <row r="198" s="9" customFormat="1" x14ac:dyDescent="0.25"/>
    <row r="199" s="9" customFormat="1" x14ac:dyDescent="0.25"/>
    <row r="200" s="9" customFormat="1" x14ac:dyDescent="0.25"/>
    <row r="201" s="9" customFormat="1" x14ac:dyDescent="0.25"/>
    <row r="202" s="9" customFormat="1" x14ac:dyDescent="0.25"/>
    <row r="203" s="9" customFormat="1" x14ac:dyDescent="0.25"/>
    <row r="204" s="9" customFormat="1" x14ac:dyDescent="0.25"/>
    <row r="205" s="9" customFormat="1" x14ac:dyDescent="0.25"/>
    <row r="206" s="9" customFormat="1" x14ac:dyDescent="0.25"/>
    <row r="207" s="9" customFormat="1" x14ac:dyDescent="0.25"/>
    <row r="208" s="9" customFormat="1" x14ac:dyDescent="0.25"/>
    <row r="209" s="9" customFormat="1" x14ac:dyDescent="0.25"/>
    <row r="210" s="9" customFormat="1" x14ac:dyDescent="0.25"/>
    <row r="211" s="9" customFormat="1" x14ac:dyDescent="0.25"/>
    <row r="212" s="9" customFormat="1" x14ac:dyDescent="0.25"/>
    <row r="213" s="9" customFormat="1" x14ac:dyDescent="0.25"/>
    <row r="214" s="9" customFormat="1" x14ac:dyDescent="0.25"/>
    <row r="215" s="9" customFormat="1" x14ac:dyDescent="0.25"/>
    <row r="216" s="9" customFormat="1" x14ac:dyDescent="0.25"/>
    <row r="217" s="9" customFormat="1" x14ac:dyDescent="0.25"/>
    <row r="218" s="9" customFormat="1" x14ac:dyDescent="0.25"/>
    <row r="219" s="9" customFormat="1" x14ac:dyDescent="0.25"/>
    <row r="220" s="9" customFormat="1" x14ac:dyDescent="0.25"/>
    <row r="221" s="9" customFormat="1" x14ac:dyDescent="0.25"/>
    <row r="222" s="9" customFormat="1" x14ac:dyDescent="0.25"/>
    <row r="223" s="9" customFormat="1" x14ac:dyDescent="0.25"/>
    <row r="224" s="9" customFormat="1" x14ac:dyDescent="0.25"/>
    <row r="225" s="9" customFormat="1" x14ac:dyDescent="0.25"/>
    <row r="226" s="9" customFormat="1" x14ac:dyDescent="0.25"/>
    <row r="227" s="9" customFormat="1" x14ac:dyDescent="0.25"/>
    <row r="228" s="9" customFormat="1" x14ac:dyDescent="0.25"/>
    <row r="229" s="9" customFormat="1" x14ac:dyDescent="0.25"/>
    <row r="230" s="9" customFormat="1" x14ac:dyDescent="0.25"/>
    <row r="231" s="9" customFormat="1" x14ac:dyDescent="0.25"/>
    <row r="232" s="9" customFormat="1" x14ac:dyDescent="0.25"/>
    <row r="233" s="9" customFormat="1" x14ac:dyDescent="0.25"/>
    <row r="234" s="9" customFormat="1" x14ac:dyDescent="0.25"/>
    <row r="235" s="9" customFormat="1" x14ac:dyDescent="0.25"/>
    <row r="236" s="9" customFormat="1" x14ac:dyDescent="0.25"/>
    <row r="237" s="9" customFormat="1" x14ac:dyDescent="0.25"/>
    <row r="238" s="9" customFormat="1" x14ac:dyDescent="0.25"/>
    <row r="239" s="9" customFormat="1" x14ac:dyDescent="0.25"/>
    <row r="240" s="9" customFormat="1" x14ac:dyDescent="0.25"/>
    <row r="241" s="9" customFormat="1" x14ac:dyDescent="0.25"/>
    <row r="242" s="9" customFormat="1" x14ac:dyDescent="0.25"/>
    <row r="243" s="9" customFormat="1" x14ac:dyDescent="0.25"/>
    <row r="244" s="9" customFormat="1" x14ac:dyDescent="0.25"/>
    <row r="245" s="9" customFormat="1" x14ac:dyDescent="0.25"/>
    <row r="246" s="9" customFormat="1" x14ac:dyDescent="0.25"/>
    <row r="247" s="9" customFormat="1" x14ac:dyDescent="0.25"/>
    <row r="248" s="9" customFormat="1" x14ac:dyDescent="0.25"/>
    <row r="249" s="9" customFormat="1" x14ac:dyDescent="0.25"/>
    <row r="250" s="9" customFormat="1" x14ac:dyDescent="0.25"/>
    <row r="251" s="9" customFormat="1" x14ac:dyDescent="0.25"/>
    <row r="252" s="9" customFormat="1" x14ac:dyDescent="0.25"/>
    <row r="253" s="9" customFormat="1" x14ac:dyDescent="0.25"/>
    <row r="254" s="9" customFormat="1" x14ac:dyDescent="0.25"/>
    <row r="255" s="9" customFormat="1" x14ac:dyDescent="0.25"/>
    <row r="256" s="9" customFormat="1" x14ac:dyDescent="0.25"/>
    <row r="257" s="9" customFormat="1" x14ac:dyDescent="0.25"/>
    <row r="258" s="9" customFormat="1" x14ac:dyDescent="0.25"/>
    <row r="259" s="9" customFormat="1" x14ac:dyDescent="0.25"/>
    <row r="260" s="9" customFormat="1" x14ac:dyDescent="0.25"/>
    <row r="261" s="9" customFormat="1" x14ac:dyDescent="0.25"/>
    <row r="262" s="9" customFormat="1" x14ac:dyDescent="0.25"/>
    <row r="263" s="9" customFormat="1" x14ac:dyDescent="0.25"/>
    <row r="264" s="9" customFormat="1" x14ac:dyDescent="0.25"/>
    <row r="265" s="9" customFormat="1" x14ac:dyDescent="0.25"/>
    <row r="266" s="9" customFormat="1" x14ac:dyDescent="0.25"/>
    <row r="267" s="9" customFormat="1" x14ac:dyDescent="0.25"/>
    <row r="268" s="9" customFormat="1" x14ac:dyDescent="0.25"/>
    <row r="269" s="9" customFormat="1" x14ac:dyDescent="0.25"/>
    <row r="270" s="9" customFormat="1" x14ac:dyDescent="0.25"/>
    <row r="271" s="9" customFormat="1" x14ac:dyDescent="0.25"/>
    <row r="272" s="9" customFormat="1" x14ac:dyDescent="0.25"/>
    <row r="273" s="9" customFormat="1" x14ac:dyDescent="0.25"/>
    <row r="274" s="9" customFormat="1" x14ac:dyDescent="0.25"/>
    <row r="275" s="9" customFormat="1" x14ac:dyDescent="0.25"/>
    <row r="276" s="9" customFormat="1" x14ac:dyDescent="0.25"/>
    <row r="277" s="9" customFormat="1" x14ac:dyDescent="0.25"/>
    <row r="278" s="9" customFormat="1" x14ac:dyDescent="0.25"/>
    <row r="279" s="9" customFormat="1" x14ac:dyDescent="0.25"/>
    <row r="280" s="9" customFormat="1" x14ac:dyDescent="0.25"/>
    <row r="281" s="9" customFormat="1" x14ac:dyDescent="0.25"/>
    <row r="282" s="9" customFormat="1" x14ac:dyDescent="0.25"/>
    <row r="283" s="9" customFormat="1" x14ac:dyDescent="0.25"/>
    <row r="284" s="9" customFormat="1" x14ac:dyDescent="0.25"/>
    <row r="285" s="9" customFormat="1" x14ac:dyDescent="0.25"/>
    <row r="286" s="9" customFormat="1" x14ac:dyDescent="0.25"/>
    <row r="287" s="9" customFormat="1" x14ac:dyDescent="0.25"/>
    <row r="288" s="9" customFormat="1" x14ac:dyDescent="0.25"/>
    <row r="289" spans="2:309" s="9" customFormat="1" x14ac:dyDescent="0.25"/>
    <row r="290" spans="2:309" x14ac:dyDescent="0.25">
      <c r="B290" s="1"/>
      <c r="C290" s="1"/>
      <c r="D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</row>
    <row r="291" spans="2:309" x14ac:dyDescent="0.25">
      <c r="B291" s="1"/>
      <c r="C291" s="1"/>
      <c r="D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</row>
    <row r="292" spans="2:309" x14ac:dyDescent="0.25">
      <c r="B292" s="1"/>
      <c r="C292" s="1"/>
      <c r="D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</row>
    <row r="293" spans="2:309" x14ac:dyDescent="0.25">
      <c r="B293" s="1"/>
      <c r="C293" s="1"/>
      <c r="D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</row>
    <row r="294" spans="2:309" x14ac:dyDescent="0.25">
      <c r="B294" s="1"/>
      <c r="C294" s="1"/>
      <c r="D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</row>
    <row r="295" spans="2:309" x14ac:dyDescent="0.25">
      <c r="B295" s="1"/>
      <c r="C295" s="1"/>
      <c r="D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</row>
    <row r="296" spans="2:309" x14ac:dyDescent="0.25">
      <c r="B296" s="1"/>
      <c r="C296" s="1"/>
      <c r="D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</row>
    <row r="297" spans="2:309" x14ac:dyDescent="0.25">
      <c r="B297" s="1"/>
      <c r="C297" s="1"/>
      <c r="D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</row>
    <row r="298" spans="2:309" x14ac:dyDescent="0.25">
      <c r="B298" s="1"/>
      <c r="C298" s="1"/>
      <c r="D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</row>
    <row r="299" spans="2:309" x14ac:dyDescent="0.25">
      <c r="B299" s="1"/>
      <c r="C299" s="1"/>
      <c r="D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</row>
    <row r="300" spans="2:309" x14ac:dyDescent="0.25">
      <c r="B300" s="1"/>
      <c r="C300" s="1"/>
      <c r="D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</row>
    <row r="301" spans="2:309" x14ac:dyDescent="0.25">
      <c r="B301" s="1"/>
      <c r="C301" s="1"/>
      <c r="D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</row>
    <row r="302" spans="2:309" x14ac:dyDescent="0.25">
      <c r="B302" s="1"/>
      <c r="C302" s="1"/>
      <c r="D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</row>
    <row r="303" spans="2:309" x14ac:dyDescent="0.25">
      <c r="B303" s="1"/>
      <c r="C303" s="1"/>
      <c r="D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</row>
    <row r="304" spans="2:309" x14ac:dyDescent="0.25">
      <c r="B304" s="1"/>
      <c r="C304" s="1"/>
      <c r="D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</row>
    <row r="305" spans="2:309" x14ac:dyDescent="0.25">
      <c r="B305" s="1"/>
      <c r="C305" s="1"/>
      <c r="D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</row>
    <row r="306" spans="2:309" x14ac:dyDescent="0.25">
      <c r="B306" s="1"/>
      <c r="C306" s="1"/>
      <c r="D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</row>
    <row r="307" spans="2:309" x14ac:dyDescent="0.25">
      <c r="B307" s="1"/>
      <c r="C307" s="1"/>
      <c r="D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</row>
    <row r="308" spans="2:309" x14ac:dyDescent="0.25">
      <c r="B308" s="1"/>
      <c r="C308" s="1"/>
      <c r="D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</row>
    <row r="309" spans="2:309" x14ac:dyDescent="0.25">
      <c r="B309" s="1"/>
      <c r="C309" s="1"/>
      <c r="D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</row>
    <row r="310" spans="2:309" x14ac:dyDescent="0.25">
      <c r="B310" s="1"/>
      <c r="C310" s="1"/>
      <c r="D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</row>
    <row r="311" spans="2:309" x14ac:dyDescent="0.25">
      <c r="B311" s="1"/>
      <c r="C311" s="1"/>
      <c r="D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</row>
    <row r="312" spans="2:309" x14ac:dyDescent="0.25">
      <c r="B312" s="1"/>
      <c r="C312" s="1"/>
      <c r="D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</row>
    <row r="313" spans="2:309" x14ac:dyDescent="0.25">
      <c r="B313" s="1"/>
      <c r="C313" s="1"/>
      <c r="D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</row>
    <row r="314" spans="2:309" x14ac:dyDescent="0.25">
      <c r="B314" s="1"/>
      <c r="C314" s="1"/>
      <c r="D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</row>
    <row r="315" spans="2:309" x14ac:dyDescent="0.25">
      <c r="B315" s="1"/>
      <c r="C315" s="1"/>
      <c r="D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</row>
    <row r="316" spans="2:309" x14ac:dyDescent="0.25">
      <c r="B316" s="1"/>
      <c r="C316" s="1"/>
      <c r="D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</row>
    <row r="317" spans="2:309" x14ac:dyDescent="0.25">
      <c r="B317" s="1"/>
      <c r="C317" s="1"/>
      <c r="D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</row>
    <row r="318" spans="2:309" x14ac:dyDescent="0.25">
      <c r="B318" s="1"/>
      <c r="C318" s="1"/>
      <c r="D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</row>
    <row r="319" spans="2:309" x14ac:dyDescent="0.25">
      <c r="B319" s="1"/>
      <c r="C319" s="1"/>
      <c r="D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</row>
    <row r="320" spans="2:309" x14ac:dyDescent="0.25">
      <c r="B320" s="1"/>
      <c r="C320" s="1"/>
      <c r="D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</row>
    <row r="321" spans="2:309" x14ac:dyDescent="0.25">
      <c r="B321" s="1"/>
      <c r="C321" s="1"/>
      <c r="D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</row>
    <row r="322" spans="2:309" x14ac:dyDescent="0.25">
      <c r="B322" s="1"/>
      <c r="C322" s="1"/>
      <c r="D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</row>
    <row r="323" spans="2:309" x14ac:dyDescent="0.25">
      <c r="B323" s="1"/>
      <c r="C323" s="1"/>
      <c r="D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</row>
    <row r="324" spans="2:309" x14ac:dyDescent="0.25">
      <c r="B324" s="1"/>
      <c r="C324" s="1"/>
      <c r="D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</row>
    <row r="325" spans="2:309" x14ac:dyDescent="0.25">
      <c r="B325" s="1"/>
      <c r="C325" s="1"/>
      <c r="D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</row>
    <row r="326" spans="2:309" x14ac:dyDescent="0.25">
      <c r="B326" s="1"/>
      <c r="C326" s="1"/>
      <c r="D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</row>
    <row r="327" spans="2:309" x14ac:dyDescent="0.25">
      <c r="B327" s="1"/>
      <c r="C327" s="1"/>
      <c r="D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</row>
    <row r="328" spans="2:309" x14ac:dyDescent="0.25">
      <c r="B328" s="1"/>
      <c r="C328" s="1"/>
      <c r="D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</row>
    <row r="329" spans="2:309" x14ac:dyDescent="0.25">
      <c r="B329" s="1"/>
      <c r="C329" s="1"/>
      <c r="D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</row>
    <row r="330" spans="2:309" x14ac:dyDescent="0.25">
      <c r="B330" s="1"/>
      <c r="C330" s="1"/>
      <c r="D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</row>
    <row r="331" spans="2:309" x14ac:dyDescent="0.25">
      <c r="B331" s="1"/>
      <c r="C331" s="1"/>
      <c r="D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</row>
    <row r="332" spans="2:309" x14ac:dyDescent="0.25">
      <c r="B332" s="1"/>
      <c r="C332" s="1"/>
      <c r="D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</row>
    <row r="333" spans="2:309" x14ac:dyDescent="0.25">
      <c r="B333" s="1"/>
      <c r="C333" s="1"/>
      <c r="D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</row>
    <row r="334" spans="2:309" x14ac:dyDescent="0.25">
      <c r="B334" s="1"/>
      <c r="C334" s="1"/>
      <c r="D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</row>
    <row r="335" spans="2:309" x14ac:dyDescent="0.25">
      <c r="B335" s="1"/>
      <c r="C335" s="1"/>
      <c r="D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</row>
    <row r="336" spans="2:309" x14ac:dyDescent="0.25">
      <c r="B336" s="1"/>
      <c r="C336" s="1"/>
      <c r="D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</row>
    <row r="337" spans="2:309" x14ac:dyDescent="0.25">
      <c r="B337" s="1"/>
      <c r="C337" s="1"/>
      <c r="D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</row>
    <row r="338" spans="2:309" x14ac:dyDescent="0.25">
      <c r="B338" s="1"/>
      <c r="C338" s="1"/>
      <c r="D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</row>
    <row r="339" spans="2:309" x14ac:dyDescent="0.25">
      <c r="B339" s="1"/>
      <c r="C339" s="1"/>
      <c r="D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</row>
    <row r="340" spans="2:309" x14ac:dyDescent="0.25">
      <c r="B340" s="1"/>
      <c r="C340" s="1"/>
      <c r="D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</row>
    <row r="341" spans="2:309" x14ac:dyDescent="0.25">
      <c r="B341" s="1"/>
      <c r="C341" s="1"/>
      <c r="D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</row>
    <row r="342" spans="2:309" x14ac:dyDescent="0.25">
      <c r="B342" s="1"/>
      <c r="C342" s="1"/>
      <c r="D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</row>
    <row r="343" spans="2:309" x14ac:dyDescent="0.25">
      <c r="B343" s="1"/>
      <c r="C343" s="1"/>
      <c r="D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</row>
    <row r="344" spans="2:309" x14ac:dyDescent="0.25">
      <c r="B344" s="1"/>
      <c r="C344" s="1"/>
      <c r="D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</row>
    <row r="345" spans="2:309" x14ac:dyDescent="0.25">
      <c r="B345" s="1"/>
      <c r="C345" s="1"/>
      <c r="D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</row>
    <row r="346" spans="2:309" x14ac:dyDescent="0.25">
      <c r="B346" s="1"/>
      <c r="C346" s="1"/>
      <c r="D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</row>
    <row r="347" spans="2:309" x14ac:dyDescent="0.25">
      <c r="B347" s="1"/>
      <c r="C347" s="1"/>
      <c r="D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</row>
    <row r="348" spans="2:309" x14ac:dyDescent="0.25">
      <c r="B348" s="1"/>
      <c r="C348" s="1"/>
      <c r="D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</row>
    <row r="349" spans="2:309" x14ac:dyDescent="0.25">
      <c r="B349" s="1"/>
      <c r="C349" s="1"/>
      <c r="D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</row>
    <row r="350" spans="2:309" x14ac:dyDescent="0.25">
      <c r="B350" s="1"/>
      <c r="C350" s="1"/>
      <c r="D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</row>
    <row r="351" spans="2:309" x14ac:dyDescent="0.25">
      <c r="B351" s="1"/>
      <c r="C351" s="1"/>
      <c r="D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</row>
    <row r="352" spans="2:309" x14ac:dyDescent="0.25">
      <c r="B352" s="1"/>
      <c r="C352" s="1"/>
      <c r="D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</row>
    <row r="353" spans="2:309" x14ac:dyDescent="0.25">
      <c r="B353" s="1"/>
      <c r="C353" s="1"/>
      <c r="D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</row>
    <row r="354" spans="2:309" x14ac:dyDescent="0.25">
      <c r="B354" s="1"/>
      <c r="C354" s="1"/>
      <c r="D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</row>
    <row r="355" spans="2:309" x14ac:dyDescent="0.25">
      <c r="B355" s="1"/>
      <c r="C355" s="1"/>
      <c r="D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</row>
    <row r="356" spans="2:309" x14ac:dyDescent="0.25">
      <c r="B356" s="1"/>
      <c r="C356" s="1"/>
      <c r="D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</row>
    <row r="357" spans="2:309" x14ac:dyDescent="0.25">
      <c r="B357" s="1"/>
      <c r="C357" s="1"/>
      <c r="D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</row>
    <row r="358" spans="2:309" x14ac:dyDescent="0.25">
      <c r="B358" s="1"/>
      <c r="C358" s="1"/>
      <c r="D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</row>
    <row r="359" spans="2:309" x14ac:dyDescent="0.25">
      <c r="B359" s="1"/>
      <c r="C359" s="1"/>
      <c r="D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</row>
    <row r="360" spans="2:309" x14ac:dyDescent="0.25">
      <c r="B360" s="1"/>
      <c r="C360" s="1"/>
      <c r="D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</row>
    <row r="361" spans="2:309" x14ac:dyDescent="0.25">
      <c r="B361" s="1"/>
      <c r="C361" s="1"/>
      <c r="D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</row>
    <row r="362" spans="2:309" x14ac:dyDescent="0.25">
      <c r="B362" s="1"/>
      <c r="C362" s="1"/>
      <c r="D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</row>
    <row r="363" spans="2:309" x14ac:dyDescent="0.25">
      <c r="B363" s="1"/>
      <c r="C363" s="1"/>
      <c r="D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</row>
    <row r="364" spans="2:309" x14ac:dyDescent="0.25">
      <c r="B364" s="1"/>
      <c r="C364" s="1"/>
      <c r="D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</row>
    <row r="365" spans="2:309" x14ac:dyDescent="0.25">
      <c r="B365" s="1"/>
      <c r="C365" s="1"/>
      <c r="D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</row>
    <row r="366" spans="2:309" x14ac:dyDescent="0.25">
      <c r="B366" s="1"/>
      <c r="C366" s="1"/>
      <c r="D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</row>
    <row r="367" spans="2:309" x14ac:dyDescent="0.25">
      <c r="B367" s="1"/>
      <c r="C367" s="1"/>
      <c r="D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</row>
    <row r="368" spans="2:309" x14ac:dyDescent="0.25">
      <c r="B368" s="1"/>
      <c r="C368" s="1"/>
      <c r="D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</row>
    <row r="369" spans="2:309" x14ac:dyDescent="0.25">
      <c r="B369" s="1"/>
      <c r="C369" s="1"/>
      <c r="D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</row>
    <row r="370" spans="2:309" x14ac:dyDescent="0.25">
      <c r="B370" s="1"/>
      <c r="C370" s="1"/>
      <c r="D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</row>
    <row r="371" spans="2:309" x14ac:dyDescent="0.25">
      <c r="B371" s="1"/>
      <c r="C371" s="1"/>
      <c r="D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</row>
    <row r="372" spans="2:309" x14ac:dyDescent="0.25">
      <c r="B372" s="1"/>
      <c r="C372" s="1"/>
      <c r="D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</row>
    <row r="373" spans="2:309" x14ac:dyDescent="0.25">
      <c r="B373" s="1"/>
      <c r="C373" s="1"/>
      <c r="D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</row>
    <row r="374" spans="2:309" x14ac:dyDescent="0.25">
      <c r="B374" s="1"/>
      <c r="C374" s="1"/>
      <c r="D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</row>
    <row r="375" spans="2:309" x14ac:dyDescent="0.25">
      <c r="B375" s="1"/>
      <c r="C375" s="1"/>
      <c r="D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</row>
    <row r="376" spans="2:309" x14ac:dyDescent="0.25">
      <c r="B376" s="1"/>
      <c r="C376" s="1"/>
      <c r="D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</row>
    <row r="377" spans="2:309" x14ac:dyDescent="0.25">
      <c r="B377" s="1"/>
      <c r="C377" s="1"/>
      <c r="D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</row>
    <row r="378" spans="2:309" x14ac:dyDescent="0.25">
      <c r="B378" s="1"/>
      <c r="C378" s="1"/>
      <c r="D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</row>
    <row r="379" spans="2:309" x14ac:dyDescent="0.25">
      <c r="B379" s="1"/>
      <c r="C379" s="1"/>
      <c r="D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</row>
    <row r="380" spans="2:309" x14ac:dyDescent="0.25">
      <c r="B380" s="1"/>
      <c r="C380" s="1"/>
      <c r="D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</row>
    <row r="381" spans="2:309" x14ac:dyDescent="0.25">
      <c r="B381" s="1"/>
      <c r="C381" s="1"/>
      <c r="D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</row>
    <row r="382" spans="2:309" x14ac:dyDescent="0.25">
      <c r="B382" s="1"/>
      <c r="C382" s="1"/>
      <c r="D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</row>
    <row r="383" spans="2:309" x14ac:dyDescent="0.25">
      <c r="B383" s="1"/>
      <c r="C383" s="1"/>
      <c r="D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</row>
    <row r="384" spans="2:309" x14ac:dyDescent="0.25">
      <c r="B384" s="1"/>
      <c r="C384" s="1"/>
      <c r="D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</row>
    <row r="385" spans="2:309" x14ac:dyDescent="0.25">
      <c r="B385" s="1"/>
      <c r="C385" s="1"/>
      <c r="D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</row>
    <row r="386" spans="2:309" x14ac:dyDescent="0.25">
      <c r="B386" s="1"/>
      <c r="C386" s="1"/>
      <c r="D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</row>
    <row r="387" spans="2:309" x14ac:dyDescent="0.25">
      <c r="B387" s="1"/>
      <c r="C387" s="1"/>
      <c r="D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</row>
    <row r="388" spans="2:309" x14ac:dyDescent="0.25">
      <c r="B388" s="1"/>
      <c r="C388" s="1"/>
      <c r="D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</row>
    <row r="389" spans="2:309" x14ac:dyDescent="0.25">
      <c r="B389" s="1"/>
      <c r="C389" s="1"/>
      <c r="D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</row>
    <row r="390" spans="2:309" x14ac:dyDescent="0.25">
      <c r="B390" s="1"/>
      <c r="C390" s="1"/>
      <c r="D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</row>
    <row r="391" spans="2:309" x14ac:dyDescent="0.25">
      <c r="B391" s="1"/>
      <c r="C391" s="1"/>
      <c r="D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</row>
    <row r="392" spans="2:309" x14ac:dyDescent="0.25">
      <c r="B392" s="1"/>
      <c r="C392" s="1"/>
      <c r="D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</row>
    <row r="393" spans="2:309" x14ac:dyDescent="0.25">
      <c r="B393" s="1"/>
      <c r="C393" s="1"/>
      <c r="D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</row>
    <row r="394" spans="2:309" x14ac:dyDescent="0.25">
      <c r="B394" s="1"/>
      <c r="C394" s="1"/>
      <c r="D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</row>
    <row r="395" spans="2:309" x14ac:dyDescent="0.25">
      <c r="B395" s="1"/>
      <c r="C395" s="1"/>
      <c r="D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</row>
    <row r="396" spans="2:309" x14ac:dyDescent="0.25">
      <c r="B396" s="1"/>
      <c r="C396" s="1"/>
      <c r="D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</row>
    <row r="397" spans="2:309" x14ac:dyDescent="0.25">
      <c r="B397" s="1"/>
      <c r="C397" s="1"/>
      <c r="D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</row>
    <row r="398" spans="2:309" x14ac:dyDescent="0.25">
      <c r="B398" s="1"/>
      <c r="C398" s="1"/>
      <c r="D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</row>
    <row r="399" spans="2:309" x14ac:dyDescent="0.25">
      <c r="B399" s="1"/>
      <c r="C399" s="1"/>
      <c r="D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</row>
    <row r="400" spans="2:309" x14ac:dyDescent="0.25">
      <c r="B400" s="1"/>
      <c r="C400" s="1"/>
      <c r="D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</row>
    <row r="401" spans="2:309" x14ac:dyDescent="0.25">
      <c r="B401" s="1"/>
      <c r="C401" s="1"/>
      <c r="D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</row>
    <row r="402" spans="2:309" x14ac:dyDescent="0.25">
      <c r="B402" s="1"/>
      <c r="C402" s="1"/>
      <c r="D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</row>
    <row r="403" spans="2:309" x14ac:dyDescent="0.25">
      <c r="B403" s="1"/>
      <c r="C403" s="1"/>
      <c r="D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</row>
    <row r="404" spans="2:309" x14ac:dyDescent="0.25">
      <c r="B404" s="1"/>
      <c r="C404" s="1"/>
      <c r="D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</row>
    <row r="405" spans="2:309" x14ac:dyDescent="0.25">
      <c r="B405" s="1"/>
      <c r="C405" s="1"/>
      <c r="D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</row>
    <row r="406" spans="2:309" x14ac:dyDescent="0.25">
      <c r="B406" s="1"/>
      <c r="C406" s="1"/>
      <c r="D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</row>
    <row r="407" spans="2:309" x14ac:dyDescent="0.25">
      <c r="B407" s="1"/>
      <c r="C407" s="1"/>
      <c r="D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</row>
    <row r="408" spans="2:309" x14ac:dyDescent="0.25">
      <c r="B408" s="1"/>
      <c r="C408" s="1"/>
      <c r="D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</row>
    <row r="409" spans="2:309" x14ac:dyDescent="0.25">
      <c r="B409" s="1"/>
      <c r="C409" s="1"/>
      <c r="D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</row>
  </sheetData>
  <sheetProtection algorithmName="SHA-512" hashValue="NEx6RauMggC0VU8HjwBkudOCaJazKpX6NSWhOnktrg1m/IMLHxwBxCFvO7O/cJ9wSO4hEGx1iUYxNKrg9TNClw==" saltValue="PuIhSLEXYPWBVZHSKvI1PQ==" spinCount="100000" sheet="1" objects="1" scenarios="1"/>
  <mergeCells count="45">
    <mergeCell ref="G28:L28"/>
    <mergeCell ref="G3:S3"/>
    <mergeCell ref="G7:S7"/>
    <mergeCell ref="C3:D3"/>
    <mergeCell ref="C6:D6"/>
    <mergeCell ref="C7:D7"/>
    <mergeCell ref="G23:L23"/>
    <mergeCell ref="G24:L24"/>
    <mergeCell ref="G25:L25"/>
    <mergeCell ref="G26:L26"/>
    <mergeCell ref="G27:L27"/>
    <mergeCell ref="G18:L18"/>
    <mergeCell ref="G19:L19"/>
    <mergeCell ref="G20:L20"/>
    <mergeCell ref="G21:L21"/>
    <mergeCell ref="G22:L22"/>
    <mergeCell ref="B19:B20"/>
    <mergeCell ref="C9:D9"/>
    <mergeCell ref="C10:D10"/>
    <mergeCell ref="C11:D11"/>
    <mergeCell ref="C12:D12"/>
    <mergeCell ref="C15:D15"/>
    <mergeCell ref="C16:D16"/>
    <mergeCell ref="B4:B5"/>
    <mergeCell ref="G4:S4"/>
    <mergeCell ref="G5:S5"/>
    <mergeCell ref="C13:D13"/>
    <mergeCell ref="C14:D14"/>
    <mergeCell ref="C8:D8"/>
    <mergeCell ref="B41:C41"/>
    <mergeCell ref="B2:D2"/>
    <mergeCell ref="C17:D17"/>
    <mergeCell ref="C18:D18"/>
    <mergeCell ref="G14:S14"/>
    <mergeCell ref="G15:S15"/>
    <mergeCell ref="G16:S16"/>
    <mergeCell ref="G2:S2"/>
    <mergeCell ref="G13:S13"/>
    <mergeCell ref="G12:S12"/>
    <mergeCell ref="G11:S11"/>
    <mergeCell ref="G10:S10"/>
    <mergeCell ref="G9:S9"/>
    <mergeCell ref="G8:S8"/>
    <mergeCell ref="B21:B22"/>
    <mergeCell ref="G6:S6"/>
  </mergeCells>
  <dataValidations count="3">
    <dataValidation type="time" operator="greaterThanOrEqual" allowBlank="1" showInputMessage="1" showErrorMessage="1" errorTitle="Złe dane" error="Godzina zakończenia nie może być wcześniejsza niż godzina rozpoczęcia odpracowania." promptTitle="Sposób wprowadzenia danych" prompt="Godziny powinny zostać wprowadzone w formacie UTC (np 21:00, 22:00, etc)" sqref="D22" xr:uid="{00000000-0002-0000-0000-000000000000}">
      <formula1>C22</formula1>
    </dataValidation>
    <dataValidation allowBlank="1" showDropDown="1" showInputMessage="1" showErrorMessage="1" sqref="C14:D15" xr:uid="{00000000-0002-0000-0000-000001000000}"/>
    <dataValidation type="whole" operator="greaterThanOrEqual" allowBlank="1" showInputMessage="1" showErrorMessage="1" sqref="C10:D10" xr:uid="{00000000-0002-0000-0000-000002000000}">
      <formula1>0</formula1>
    </dataValidation>
  </dataValidations>
  <pageMargins left="0.25" right="0.25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notBetween" allowBlank="1" showDropDown="1" showInputMessage="1" showErrorMessage="1" errorTitle="Złe dane" error="Wyjście prywatne powinno zawierać się w przedziale 18:00 - 10:00 oraz być w formacie np 18:15, 18:30, 18:45 itp" promptTitle="Sposób wprowadzenia danych" prompt="Godziny powinny zostać wprowadzone w formacie UTC (np 21:00, 22:00, etc)" xr:uid="{00000000-0002-0000-0000-000003000000}">
          <x14:formula1>
            <xm:f>Sheet1!$F$5:$F$69</xm:f>
          </x14:formula1>
          <xm:sqref>C20:D20</xm:sqref>
        </x14:dataValidation>
        <x14:dataValidation type="list" operator="equal" allowBlank="1" showDropDown="1" showInputMessage="1" showErrorMessage="1" errorTitle="Złe dane" error="Odpracowanie wyjścia prywatnego powinno zawierać się w przedziale 18:00 - 10:00 oraz być w formacie np 18:15, 18:30, 18:45 itp" promptTitle="Sposób wprowadzenia danych" prompt="Godziny powinny zostać wprowadzone w formacie UTC (np 21:00, 22:00, etc)" xr:uid="{00000000-0002-0000-0000-000004000000}">
          <x14:formula1>
            <xm:f>Sheet1!$F$5:$F$69</xm:f>
          </x14:formula1>
          <xm:sqref>C22</xm:sqref>
        </x14:dataValidation>
        <x14:dataValidation type="list" allowBlank="1" showDropDown="1" showInputMessage="1" showErrorMessage="1" promptTitle="Sposób wprowadzenia danych" prompt="Dane o spóźnieniu powinny być wprowadzone w formacie 0.25; 0.5; 0,75 itp." xr:uid="{00000000-0002-0000-0000-000005000000}">
          <x14:formula1>
            <xm:f>Sheet1!$C$5:$C$49</xm:f>
          </x14:formula1>
          <xm:sqref>C17:D17</xm:sqref>
        </x14:dataValidation>
        <x14:dataValidation type="list" allowBlank="1" showDropDown="1" showInputMessage="1" showErrorMessage="1" promptTitle="Sposób wprowadzenia danych" prompt="Dane o odpracowaniu spóźnienia powinny być wprowadzone w formacie 0.25; 0.5; 0,75 itp i powinny pokrywać się z czasem spóźnienia." xr:uid="{00000000-0002-0000-0000-000006000000}">
          <x14:formula1>
            <xm:f>Sheet1!$C$5:$C$49</xm:f>
          </x14:formula1>
          <xm:sqref>C18:D18</xm:sqref>
        </x14:dataValidation>
        <x14:dataValidation type="list" allowBlank="1" showDropDown="1" showInputMessage="1" showErrorMessage="1" promptTitle="Sposób wprowadzenia danych" prompt="W Less należy wpisać czas, który został poświęcony na inne czynności niż rating/audyt np. huddle, technical issues." xr:uid="{00000000-0002-0000-0000-000007000000}">
          <x14:formula1>
            <xm:f>Sheet1!$C$5:$C$49</xm:f>
          </x14:formula1>
          <xm:sqref>C16:D16</xm:sqref>
        </x14:dataValidation>
        <x14:dataValidation type="list" allowBlank="1" showDropDown="1" showInputMessage="1" showErrorMessage="1" promptTitle="Sposób wprowadzenia danych" prompt="W komórkę Rating[h] lub Audit[h] należy dodać wartość z &quot;overtime&quot; i rozdzielić w zależności jakie czynności zostały wykonywane na nadgodzinach." xr:uid="{00000000-0002-0000-0000-000008000000}">
          <x14:formula1>
            <xm:f>Sheet1!$C$5:$C$49</xm:f>
          </x14:formula1>
          <xm:sqref>C13:D13</xm:sqref>
        </x14:dataValidation>
        <x14:dataValidation type="list" allowBlank="1" showDropDown="1" showInputMessage="1" showErrorMessage="1" xr:uid="{00000000-0002-0000-0000-000009000000}">
          <x14:formula1>
            <xm:f>Sheet1!$C$5:$C$49</xm:f>
          </x14:formula1>
          <xm:sqref>C6:D7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3"/>
  <dimension ref="A1:KX409"/>
  <sheetViews>
    <sheetView zoomScaleNormal="100" workbookViewId="0">
      <selection activeCell="G21" sqref="G21:L21"/>
    </sheetView>
  </sheetViews>
  <sheetFormatPr defaultRowHeight="15" x14ac:dyDescent="0.25"/>
  <cols>
    <col min="1" max="1" width="4.42578125" style="1" customWidth="1"/>
    <col min="2" max="2" width="33.85546875" bestFit="1" customWidth="1"/>
    <col min="3" max="3" width="11.5703125" customWidth="1"/>
    <col min="4" max="4" width="11.42578125" customWidth="1"/>
    <col min="5" max="6" width="9.140625" style="1"/>
    <col min="19" max="19" width="30.5703125" customWidth="1"/>
    <col min="20" max="20" width="10" customWidth="1"/>
  </cols>
  <sheetData>
    <row r="1" spans="2:310" s="1" customFormat="1" ht="15.75" thickBot="1" x14ac:dyDescent="0.3"/>
    <row r="2" spans="2:310" ht="15.75" thickBot="1" x14ac:dyDescent="0.3">
      <c r="B2" s="45" t="s">
        <v>16</v>
      </c>
      <c r="C2" s="46"/>
      <c r="D2" s="47"/>
      <c r="G2" s="59" t="s">
        <v>33</v>
      </c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1"/>
      <c r="T2" s="1"/>
      <c r="U2" s="1"/>
      <c r="V2" s="1"/>
      <c r="W2" s="30" t="s">
        <v>38</v>
      </c>
      <c r="X2" s="31" t="s">
        <v>37</v>
      </c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</row>
    <row r="3" spans="2:310" ht="15.75" thickBot="1" x14ac:dyDescent="0.3">
      <c r="B3" s="15" t="s">
        <v>0</v>
      </c>
      <c r="C3" s="78">
        <f ca="1">'Daily Figures'!C3:D3</f>
        <v>44687</v>
      </c>
      <c r="D3" s="69"/>
      <c r="G3" s="91" t="s">
        <v>11</v>
      </c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3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</row>
    <row r="4" spans="2:310" ht="15.75" thickBot="1" x14ac:dyDescent="0.3">
      <c r="B4" s="64" t="s">
        <v>1</v>
      </c>
      <c r="C4" s="24" t="s">
        <v>9</v>
      </c>
      <c r="D4" s="24" t="s">
        <v>10</v>
      </c>
      <c r="G4" s="88" t="s">
        <v>12</v>
      </c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90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</row>
    <row r="5" spans="2:310" ht="15.75" thickBot="1" x14ac:dyDescent="0.3">
      <c r="B5" s="65"/>
      <c r="C5" s="42">
        <f>'Daily Figures'!C5</f>
        <v>0.91666666666666663</v>
      </c>
      <c r="D5" s="42">
        <f>'Daily Figures'!D5</f>
        <v>0.94791666666666663</v>
      </c>
      <c r="G5" s="88" t="s">
        <v>25</v>
      </c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90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</row>
    <row r="6" spans="2:310" ht="15.75" thickBot="1" x14ac:dyDescent="0.3">
      <c r="B6" s="15" t="s">
        <v>2</v>
      </c>
      <c r="C6" s="48">
        <f>'Daily Figures'!C6:D6</f>
        <v>0</v>
      </c>
      <c r="D6" s="49"/>
      <c r="G6" s="88" t="s">
        <v>26</v>
      </c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90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</row>
    <row r="7" spans="2:310" ht="15.75" thickBot="1" x14ac:dyDescent="0.3">
      <c r="B7" s="15" t="s">
        <v>3</v>
      </c>
      <c r="C7" s="48">
        <f>'Daily Figures'!C7:D7</f>
        <v>0</v>
      </c>
      <c r="D7" s="49"/>
      <c r="G7" s="88" t="s">
        <v>27</v>
      </c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90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</row>
    <row r="8" spans="2:310" ht="15.75" thickBot="1" x14ac:dyDescent="0.3">
      <c r="B8" s="15" t="s">
        <v>40</v>
      </c>
      <c r="C8" s="68">
        <f>'Daily Figures'!C8:D8</f>
        <v>0</v>
      </c>
      <c r="D8" s="69"/>
      <c r="G8" s="88" t="s">
        <v>13</v>
      </c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90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</row>
    <row r="9" spans="2:310" ht="15.75" thickBot="1" x14ac:dyDescent="0.3">
      <c r="B9" s="15" t="s">
        <v>4</v>
      </c>
      <c r="C9" s="68">
        <f>'Daily Figures'!C9:D9</f>
        <v>0</v>
      </c>
      <c r="D9" s="69"/>
      <c r="G9" s="88" t="s">
        <v>14</v>
      </c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90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</row>
    <row r="10" spans="2:310" ht="15.75" thickBot="1" x14ac:dyDescent="0.3">
      <c r="B10" s="15" t="s">
        <v>5</v>
      </c>
      <c r="C10" s="48">
        <f>'Daily Figures'!C10:D10</f>
        <v>0</v>
      </c>
      <c r="D10" s="49"/>
      <c r="G10" s="88" t="s">
        <v>15</v>
      </c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90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</row>
    <row r="11" spans="2:310" ht="15.75" thickBot="1" x14ac:dyDescent="0.3">
      <c r="B11" s="15" t="s">
        <v>6</v>
      </c>
      <c r="C11" s="68">
        <f>'Daily Figures'!C11:D11</f>
        <v>0</v>
      </c>
      <c r="D11" s="69"/>
      <c r="G11" s="88" t="s">
        <v>23</v>
      </c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90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</row>
    <row r="12" spans="2:310" ht="15.75" thickBot="1" x14ac:dyDescent="0.3">
      <c r="B12" s="15" t="s">
        <v>7</v>
      </c>
      <c r="C12" s="70" t="str">
        <f>'Daily Figures'!C12:D12</f>
        <v>-</v>
      </c>
      <c r="D12" s="71"/>
      <c r="G12" s="88" t="s">
        <v>18</v>
      </c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90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</row>
    <row r="13" spans="2:310" ht="15.75" thickBot="1" x14ac:dyDescent="0.3">
      <c r="B13" s="15" t="s">
        <v>29</v>
      </c>
      <c r="C13" s="48">
        <f>'Daily Figures'!C13:D13</f>
        <v>0</v>
      </c>
      <c r="D13" s="49"/>
      <c r="G13" s="88" t="s">
        <v>20</v>
      </c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90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</row>
    <row r="14" spans="2:310" ht="15.75" thickBot="1" x14ac:dyDescent="0.3">
      <c r="B14" s="15" t="s">
        <v>8</v>
      </c>
      <c r="C14" s="66">
        <f>'Daily Figures'!C14:D14</f>
        <v>0</v>
      </c>
      <c r="D14" s="67"/>
      <c r="G14" s="88" t="s">
        <v>34</v>
      </c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90"/>
      <c r="T14" s="2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</row>
    <row r="15" spans="2:310" ht="15.75" thickBot="1" x14ac:dyDescent="0.3">
      <c r="B15" s="15" t="s">
        <v>30</v>
      </c>
      <c r="C15" s="66">
        <f>'Daily Figures'!C15:D15</f>
        <v>0</v>
      </c>
      <c r="D15" s="67"/>
      <c r="G15" s="102" t="s">
        <v>28</v>
      </c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4"/>
      <c r="T15" s="2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</row>
    <row r="16" spans="2:310" ht="15.75" thickBot="1" x14ac:dyDescent="0.3">
      <c r="B16" s="15" t="s">
        <v>31</v>
      </c>
      <c r="C16" s="48">
        <f>'Daily Figures'!C16:D16</f>
        <v>0</v>
      </c>
      <c r="D16" s="49"/>
      <c r="G16" s="105" t="s">
        <v>32</v>
      </c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7"/>
      <c r="T16" s="2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</row>
    <row r="17" spans="2:310" ht="15.75" thickBot="1" x14ac:dyDescent="0.3">
      <c r="B17" s="15" t="s">
        <v>21</v>
      </c>
      <c r="C17" s="48">
        <f>'Daily Figures'!C17:D17</f>
        <v>0</v>
      </c>
      <c r="D17" s="49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</row>
    <row r="18" spans="2:310" ht="15.75" thickBot="1" x14ac:dyDescent="0.3">
      <c r="B18" s="15" t="s">
        <v>22</v>
      </c>
      <c r="C18" s="48">
        <f>'Daily Figures'!C18:D18</f>
        <v>0</v>
      </c>
      <c r="D18" s="49"/>
      <c r="G18" s="59" t="s">
        <v>45</v>
      </c>
      <c r="H18" s="60"/>
      <c r="I18" s="60"/>
      <c r="J18" s="60"/>
      <c r="K18" s="60"/>
      <c r="L18" s="61"/>
      <c r="M18" s="3"/>
      <c r="N18" s="3"/>
      <c r="O18" s="3"/>
      <c r="P18" s="3"/>
      <c r="Q18" s="3"/>
      <c r="R18" s="3"/>
      <c r="S18" s="3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</row>
    <row r="19" spans="2:310" ht="15.75" customHeight="1" thickBot="1" x14ac:dyDescent="0.3">
      <c r="B19" s="64" t="s">
        <v>17</v>
      </c>
      <c r="C19" s="24" t="s">
        <v>9</v>
      </c>
      <c r="D19" s="24" t="s">
        <v>10</v>
      </c>
      <c r="G19" s="108">
        <f>'Daily Figures'!G19:L19</f>
        <v>0</v>
      </c>
      <c r="H19" s="109"/>
      <c r="I19" s="109"/>
      <c r="J19" s="109"/>
      <c r="K19" s="109"/>
      <c r="L19" s="110"/>
      <c r="M19" s="35"/>
      <c r="N19" s="35"/>
      <c r="O19" s="35"/>
      <c r="P19" s="35"/>
      <c r="Q19" s="35"/>
      <c r="R19" s="35"/>
      <c r="S19" s="35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</row>
    <row r="20" spans="2:310" ht="15.75" thickBot="1" x14ac:dyDescent="0.3">
      <c r="B20" s="65"/>
      <c r="C20" s="14">
        <f>'Daily Figures'!C20</f>
        <v>0</v>
      </c>
      <c r="D20" s="14">
        <f>'Daily Figures'!D20</f>
        <v>0</v>
      </c>
      <c r="G20" s="94">
        <f>'Daily Figures'!G20:L20</f>
        <v>0</v>
      </c>
      <c r="H20" s="95"/>
      <c r="I20" s="95"/>
      <c r="J20" s="95"/>
      <c r="K20" s="95"/>
      <c r="L20" s="96"/>
      <c r="M20" s="35"/>
      <c r="N20" s="35"/>
      <c r="O20" s="35"/>
      <c r="P20" s="35"/>
      <c r="Q20" s="35"/>
      <c r="R20" s="35"/>
      <c r="S20" s="35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</row>
    <row r="21" spans="2:310" ht="15.75" thickBot="1" x14ac:dyDescent="0.3">
      <c r="B21" s="62" t="s">
        <v>19</v>
      </c>
      <c r="C21" s="24" t="s">
        <v>9</v>
      </c>
      <c r="D21" s="24" t="s">
        <v>10</v>
      </c>
      <c r="G21" s="94">
        <f>'Daily Figures'!G21:L21</f>
        <v>0</v>
      </c>
      <c r="H21" s="95"/>
      <c r="I21" s="95"/>
      <c r="J21" s="95"/>
      <c r="K21" s="95"/>
      <c r="L21" s="96"/>
      <c r="M21" s="35"/>
      <c r="N21" s="35"/>
      <c r="O21" s="35"/>
      <c r="P21" s="35"/>
      <c r="Q21" s="35"/>
      <c r="R21" s="35"/>
      <c r="S21" s="35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</row>
    <row r="22" spans="2:310" ht="15.75" customHeight="1" thickBot="1" x14ac:dyDescent="0.3">
      <c r="B22" s="63"/>
      <c r="C22" s="14">
        <f>'Daily Figures'!C22</f>
        <v>0</v>
      </c>
      <c r="D22" s="14">
        <f>'Daily Figures'!D22</f>
        <v>0</v>
      </c>
      <c r="F22" s="2"/>
      <c r="G22" s="94">
        <f>'Daily Figures'!G22:L22</f>
        <v>0</v>
      </c>
      <c r="H22" s="95"/>
      <c r="I22" s="95"/>
      <c r="J22" s="95"/>
      <c r="K22" s="95"/>
      <c r="L22" s="96"/>
      <c r="M22" s="35"/>
      <c r="N22" s="35"/>
      <c r="O22" s="35"/>
      <c r="P22" s="35"/>
      <c r="Q22" s="35"/>
      <c r="R22" s="35"/>
      <c r="S22" s="35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</row>
    <row r="23" spans="2:310" s="1" customFormat="1" x14ac:dyDescent="0.25">
      <c r="F23" s="2"/>
      <c r="G23" s="94">
        <f>'Daily Figures'!G23:L23</f>
        <v>0</v>
      </c>
      <c r="H23" s="95"/>
      <c r="I23" s="95"/>
      <c r="J23" s="95"/>
      <c r="K23" s="95"/>
      <c r="L23" s="96"/>
      <c r="M23" s="35"/>
      <c r="N23" s="35"/>
      <c r="O23" s="35"/>
      <c r="P23" s="35"/>
      <c r="Q23" s="35"/>
      <c r="R23" s="35"/>
      <c r="S23" s="35"/>
    </row>
    <row r="24" spans="2:310" s="1" customFormat="1" x14ac:dyDescent="0.25">
      <c r="G24" s="94">
        <f>'Daily Figures'!G24:L24</f>
        <v>0</v>
      </c>
      <c r="H24" s="95"/>
      <c r="I24" s="95"/>
      <c r="J24" s="95"/>
      <c r="K24" s="95"/>
      <c r="L24" s="96"/>
      <c r="M24" s="35"/>
      <c r="N24" s="35"/>
      <c r="O24" s="35"/>
      <c r="P24" s="35"/>
      <c r="Q24" s="35"/>
      <c r="R24" s="35"/>
      <c r="S24" s="35"/>
    </row>
    <row r="25" spans="2:310" s="1" customFormat="1" x14ac:dyDescent="0.25">
      <c r="G25" s="94">
        <f>'Daily Figures'!G25:L25</f>
        <v>0</v>
      </c>
      <c r="H25" s="95"/>
      <c r="I25" s="95"/>
      <c r="J25" s="95"/>
      <c r="K25" s="95"/>
      <c r="L25" s="96"/>
      <c r="M25" s="35"/>
      <c r="N25" s="2"/>
      <c r="O25" s="2"/>
      <c r="P25" s="2"/>
      <c r="Q25" s="2"/>
      <c r="R25" s="2"/>
      <c r="S25" s="2"/>
    </row>
    <row r="26" spans="2:310" s="1" customFormat="1" x14ac:dyDescent="0.25">
      <c r="D26" s="6">
        <v>0.91666666666666663</v>
      </c>
      <c r="G26" s="94">
        <f>'Daily Figures'!G26:L26</f>
        <v>0</v>
      </c>
      <c r="H26" s="95"/>
      <c r="I26" s="95"/>
      <c r="J26" s="95"/>
      <c r="K26" s="95"/>
      <c r="L26" s="96"/>
      <c r="M26" s="35"/>
    </row>
    <row r="27" spans="2:310" s="1" customFormat="1" x14ac:dyDescent="0.25">
      <c r="D27" s="7">
        <v>0.26041666666666702</v>
      </c>
      <c r="E27" s="6">
        <v>0.26041666666666669</v>
      </c>
      <c r="G27" s="94">
        <f>'Daily Figures'!G27:L27</f>
        <v>0</v>
      </c>
      <c r="H27" s="95"/>
      <c r="I27" s="95"/>
      <c r="J27" s="95"/>
      <c r="K27" s="95"/>
      <c r="L27" s="96"/>
      <c r="M27" s="35"/>
    </row>
    <row r="28" spans="2:310" s="1" customFormat="1" ht="15.75" thickBot="1" x14ac:dyDescent="0.3">
      <c r="D28" s="7">
        <v>0.83333333333333304</v>
      </c>
      <c r="E28" s="6">
        <v>0.83333333333333337</v>
      </c>
      <c r="G28" s="97">
        <f>'Daily Figures'!G28:L28</f>
        <v>0</v>
      </c>
      <c r="H28" s="98"/>
      <c r="I28" s="98"/>
      <c r="J28" s="98"/>
      <c r="K28" s="98"/>
      <c r="L28" s="99"/>
      <c r="M28" s="35"/>
    </row>
    <row r="29" spans="2:310" s="1" customFormat="1" x14ac:dyDescent="0.25">
      <c r="D29" s="7">
        <v>0.91666666666666663</v>
      </c>
      <c r="E29" s="6">
        <v>0.91666666666666663</v>
      </c>
    </row>
    <row r="30" spans="2:310" s="1" customFormat="1" x14ac:dyDescent="0.25"/>
    <row r="31" spans="2:310" s="1" customFormat="1" x14ac:dyDescent="0.25"/>
    <row r="32" spans="2:310" s="1" customFormat="1" x14ac:dyDescent="0.25"/>
    <row r="33" spans="2:3" s="1" customFormat="1" x14ac:dyDescent="0.25"/>
    <row r="34" spans="2:3" s="1" customFormat="1" x14ac:dyDescent="0.25"/>
    <row r="35" spans="2:3" s="1" customFormat="1" x14ac:dyDescent="0.25"/>
    <row r="36" spans="2:3" s="1" customFormat="1" x14ac:dyDescent="0.25"/>
    <row r="37" spans="2:3" s="1" customFormat="1" x14ac:dyDescent="0.25"/>
    <row r="38" spans="2:3" s="1" customFormat="1" x14ac:dyDescent="0.25"/>
    <row r="39" spans="2:3" s="1" customFormat="1" x14ac:dyDescent="0.25"/>
    <row r="40" spans="2:3" s="1" customFormat="1" x14ac:dyDescent="0.25"/>
    <row r="41" spans="2:3" s="1" customFormat="1" ht="15.75" hidden="1" thickBot="1" x14ac:dyDescent="0.3">
      <c r="B41" s="100">
        <f>SUM(C6:C7)-C16+C13-C14+C15-C17+C18</f>
        <v>0</v>
      </c>
      <c r="C41" s="101"/>
    </row>
    <row r="42" spans="2:3" s="1" customFormat="1" x14ac:dyDescent="0.25"/>
    <row r="43" spans="2:3" s="1" customFormat="1" x14ac:dyDescent="0.25"/>
    <row r="44" spans="2:3" s="1" customFormat="1" x14ac:dyDescent="0.25"/>
    <row r="45" spans="2:3" s="1" customFormat="1" x14ac:dyDescent="0.25"/>
    <row r="46" spans="2:3" s="1" customFormat="1" x14ac:dyDescent="0.25"/>
    <row r="47" spans="2:3" s="1" customFormat="1" x14ac:dyDescent="0.25"/>
    <row r="48" spans="2:3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pans="2:309" s="1" customFormat="1" x14ac:dyDescent="0.25"/>
    <row r="130" spans="2:309" s="1" customFormat="1" x14ac:dyDescent="0.25"/>
    <row r="131" spans="2:309" s="1" customFormat="1" x14ac:dyDescent="0.25"/>
    <row r="132" spans="2:309" s="1" customFormat="1" x14ac:dyDescent="0.25"/>
    <row r="133" spans="2:309" s="1" customFormat="1" x14ac:dyDescent="0.25"/>
    <row r="134" spans="2:309" s="1" customFormat="1" x14ac:dyDescent="0.25"/>
    <row r="135" spans="2:309" s="1" customFormat="1" x14ac:dyDescent="0.25"/>
    <row r="136" spans="2:309" s="1" customFormat="1" x14ac:dyDescent="0.25"/>
    <row r="137" spans="2:309" s="1" customFormat="1" x14ac:dyDescent="0.25"/>
    <row r="138" spans="2:309" s="1" customFormat="1" x14ac:dyDescent="0.25"/>
    <row r="139" spans="2:309" x14ac:dyDescent="0.25">
      <c r="B139" s="1"/>
      <c r="C139" s="1"/>
      <c r="D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</row>
    <row r="140" spans="2:309" x14ac:dyDescent="0.25">
      <c r="B140" s="1"/>
      <c r="C140" s="1"/>
      <c r="D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</row>
    <row r="141" spans="2:309" x14ac:dyDescent="0.25">
      <c r="B141" s="1"/>
      <c r="C141" s="1"/>
      <c r="D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</row>
    <row r="142" spans="2:309" x14ac:dyDescent="0.25">
      <c r="B142" s="1"/>
      <c r="C142" s="1"/>
      <c r="D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</row>
    <row r="143" spans="2:309" x14ac:dyDescent="0.25">
      <c r="B143" s="1"/>
      <c r="C143" s="1"/>
      <c r="D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</row>
    <row r="144" spans="2:309" x14ac:dyDescent="0.25">
      <c r="B144" s="1"/>
      <c r="C144" s="1"/>
      <c r="D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</row>
    <row r="145" spans="2:309" x14ac:dyDescent="0.25">
      <c r="B145" s="1"/>
      <c r="C145" s="1"/>
      <c r="D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</row>
    <row r="146" spans="2:309" x14ac:dyDescent="0.25">
      <c r="B146" s="1"/>
      <c r="C146" s="1"/>
      <c r="D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</row>
    <row r="147" spans="2:309" x14ac:dyDescent="0.25">
      <c r="B147" s="1"/>
      <c r="C147" s="1"/>
      <c r="D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</row>
    <row r="148" spans="2:309" x14ac:dyDescent="0.25">
      <c r="B148" s="1"/>
      <c r="C148" s="1"/>
      <c r="D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</row>
    <row r="149" spans="2:309" x14ac:dyDescent="0.25">
      <c r="B149" s="1"/>
      <c r="C149" s="1"/>
      <c r="D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</row>
    <row r="150" spans="2:309" x14ac:dyDescent="0.25">
      <c r="B150" s="1"/>
      <c r="C150" s="1"/>
      <c r="D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</row>
    <row r="151" spans="2:309" x14ac:dyDescent="0.25">
      <c r="B151" s="1"/>
      <c r="C151" s="1"/>
      <c r="D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</row>
    <row r="152" spans="2:309" x14ac:dyDescent="0.25">
      <c r="B152" s="1"/>
      <c r="C152" s="1"/>
      <c r="D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</row>
    <row r="153" spans="2:309" x14ac:dyDescent="0.25">
      <c r="B153" s="1"/>
      <c r="C153" s="1"/>
      <c r="D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</row>
    <row r="154" spans="2:309" x14ac:dyDescent="0.25">
      <c r="B154" s="1"/>
      <c r="C154" s="1"/>
      <c r="D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</row>
    <row r="155" spans="2:309" x14ac:dyDescent="0.25">
      <c r="B155" s="1"/>
      <c r="C155" s="1"/>
      <c r="D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</row>
    <row r="156" spans="2:309" x14ac:dyDescent="0.25">
      <c r="B156" s="1"/>
      <c r="C156" s="1"/>
      <c r="D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</row>
    <row r="157" spans="2:309" x14ac:dyDescent="0.25">
      <c r="B157" s="1"/>
      <c r="C157" s="1"/>
      <c r="D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</row>
    <row r="158" spans="2:309" x14ac:dyDescent="0.25">
      <c r="B158" s="1"/>
      <c r="C158" s="1"/>
      <c r="D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</row>
    <row r="159" spans="2:309" x14ac:dyDescent="0.25">
      <c r="B159" s="1"/>
      <c r="C159" s="1"/>
      <c r="D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</row>
    <row r="160" spans="2:309" x14ac:dyDescent="0.25">
      <c r="B160" s="1"/>
      <c r="C160" s="1"/>
      <c r="D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</row>
    <row r="161" spans="2:309" x14ac:dyDescent="0.25">
      <c r="B161" s="1"/>
      <c r="C161" s="1"/>
      <c r="D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</row>
    <row r="162" spans="2:309" x14ac:dyDescent="0.25">
      <c r="B162" s="1"/>
      <c r="C162" s="1"/>
      <c r="D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</row>
    <row r="163" spans="2:309" x14ac:dyDescent="0.25">
      <c r="B163" s="1"/>
      <c r="C163" s="1"/>
      <c r="D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</row>
    <row r="164" spans="2:309" x14ac:dyDescent="0.25">
      <c r="B164" s="1"/>
      <c r="C164" s="1"/>
      <c r="D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</row>
    <row r="165" spans="2:309" x14ac:dyDescent="0.25">
      <c r="B165" s="1"/>
      <c r="C165" s="1"/>
      <c r="D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</row>
    <row r="166" spans="2:309" x14ac:dyDescent="0.25">
      <c r="B166" s="1"/>
      <c r="C166" s="1"/>
      <c r="D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</row>
    <row r="167" spans="2:309" x14ac:dyDescent="0.25">
      <c r="B167" s="1"/>
      <c r="C167" s="1"/>
      <c r="D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</row>
    <row r="168" spans="2:309" x14ac:dyDescent="0.25">
      <c r="B168" s="1"/>
      <c r="C168" s="1"/>
      <c r="D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</row>
    <row r="169" spans="2:309" x14ac:dyDescent="0.25">
      <c r="B169" s="1"/>
      <c r="C169" s="1"/>
      <c r="D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</row>
    <row r="170" spans="2:309" x14ac:dyDescent="0.25">
      <c r="B170" s="1"/>
      <c r="C170" s="1"/>
      <c r="D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</row>
    <row r="171" spans="2:309" x14ac:dyDescent="0.25">
      <c r="B171" s="1"/>
      <c r="C171" s="1"/>
      <c r="D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</row>
    <row r="172" spans="2:309" x14ac:dyDescent="0.25">
      <c r="B172" s="1"/>
      <c r="C172" s="1"/>
      <c r="D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</row>
    <row r="173" spans="2:309" x14ac:dyDescent="0.25">
      <c r="B173" s="1"/>
      <c r="C173" s="1"/>
      <c r="D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</row>
    <row r="174" spans="2:309" x14ac:dyDescent="0.25">
      <c r="B174" s="1"/>
      <c r="C174" s="1"/>
      <c r="D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</row>
    <row r="175" spans="2:309" x14ac:dyDescent="0.25">
      <c r="B175" s="1"/>
      <c r="C175" s="1"/>
      <c r="D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</row>
    <row r="176" spans="2:309" x14ac:dyDescent="0.25">
      <c r="B176" s="1"/>
      <c r="C176" s="1"/>
      <c r="D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</row>
    <row r="177" spans="2:309" x14ac:dyDescent="0.25">
      <c r="B177" s="1"/>
      <c r="C177" s="1"/>
      <c r="D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</row>
    <row r="178" spans="2:309" x14ac:dyDescent="0.25">
      <c r="B178" s="1"/>
      <c r="C178" s="1"/>
      <c r="D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</row>
    <row r="179" spans="2:309" x14ac:dyDescent="0.25">
      <c r="B179" s="1"/>
      <c r="C179" s="1"/>
      <c r="D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</row>
    <row r="180" spans="2:309" x14ac:dyDescent="0.25">
      <c r="B180" s="1"/>
      <c r="C180" s="1"/>
      <c r="D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</row>
    <row r="181" spans="2:309" x14ac:dyDescent="0.25">
      <c r="B181" s="1"/>
      <c r="C181" s="1"/>
      <c r="D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</row>
    <row r="182" spans="2:309" x14ac:dyDescent="0.25">
      <c r="B182" s="1"/>
      <c r="C182" s="1"/>
      <c r="D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</row>
    <row r="183" spans="2:309" x14ac:dyDescent="0.25">
      <c r="B183" s="1"/>
      <c r="C183" s="1"/>
      <c r="D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</row>
    <row r="184" spans="2:309" x14ac:dyDescent="0.25">
      <c r="B184" s="1"/>
      <c r="C184" s="1"/>
      <c r="D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</row>
    <row r="185" spans="2:309" x14ac:dyDescent="0.25">
      <c r="B185" s="1"/>
      <c r="C185" s="1"/>
      <c r="D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</row>
    <row r="186" spans="2:309" x14ac:dyDescent="0.25">
      <c r="B186" s="1"/>
      <c r="C186" s="1"/>
      <c r="D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</row>
    <row r="187" spans="2:309" x14ac:dyDescent="0.25">
      <c r="B187" s="1"/>
      <c r="C187" s="1"/>
      <c r="D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</row>
    <row r="188" spans="2:309" x14ac:dyDescent="0.25">
      <c r="B188" s="1"/>
      <c r="C188" s="1"/>
      <c r="D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</row>
    <row r="189" spans="2:309" x14ac:dyDescent="0.25">
      <c r="B189" s="1"/>
      <c r="C189" s="1"/>
      <c r="D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</row>
    <row r="190" spans="2:309" x14ac:dyDescent="0.25">
      <c r="B190" s="1"/>
      <c r="C190" s="1"/>
      <c r="D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</row>
    <row r="191" spans="2:309" x14ac:dyDescent="0.25">
      <c r="B191" s="1"/>
      <c r="C191" s="1"/>
      <c r="D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</row>
    <row r="192" spans="2:309" x14ac:dyDescent="0.25">
      <c r="B192" s="1"/>
      <c r="C192" s="1"/>
      <c r="D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</row>
    <row r="193" spans="2:309" x14ac:dyDescent="0.25">
      <c r="B193" s="1"/>
      <c r="C193" s="1"/>
      <c r="D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</row>
    <row r="194" spans="2:309" x14ac:dyDescent="0.25">
      <c r="B194" s="1"/>
      <c r="C194" s="1"/>
      <c r="D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</row>
    <row r="195" spans="2:309" x14ac:dyDescent="0.25">
      <c r="B195" s="1"/>
      <c r="C195" s="1"/>
      <c r="D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</row>
    <row r="196" spans="2:309" x14ac:dyDescent="0.25">
      <c r="B196" s="1"/>
      <c r="C196" s="1"/>
      <c r="D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</row>
    <row r="197" spans="2:309" x14ac:dyDescent="0.25">
      <c r="B197" s="1"/>
      <c r="C197" s="1"/>
      <c r="D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</row>
    <row r="198" spans="2:309" x14ac:dyDescent="0.25">
      <c r="B198" s="1"/>
      <c r="C198" s="1"/>
      <c r="D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</row>
    <row r="199" spans="2:309" x14ac:dyDescent="0.25">
      <c r="B199" s="1"/>
      <c r="C199" s="1"/>
      <c r="D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</row>
    <row r="200" spans="2:309" x14ac:dyDescent="0.25">
      <c r="B200" s="1"/>
      <c r="C200" s="1"/>
      <c r="D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</row>
    <row r="201" spans="2:309" x14ac:dyDescent="0.25">
      <c r="B201" s="1"/>
      <c r="C201" s="1"/>
      <c r="D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</row>
    <row r="202" spans="2:309" x14ac:dyDescent="0.25">
      <c r="B202" s="1"/>
      <c r="C202" s="1"/>
      <c r="D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</row>
    <row r="203" spans="2:309" x14ac:dyDescent="0.25">
      <c r="B203" s="1"/>
      <c r="C203" s="1"/>
      <c r="D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</row>
    <row r="204" spans="2:309" x14ac:dyDescent="0.25">
      <c r="B204" s="1"/>
      <c r="C204" s="1"/>
      <c r="D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</row>
    <row r="205" spans="2:309" x14ac:dyDescent="0.25">
      <c r="B205" s="1"/>
      <c r="C205" s="1"/>
      <c r="D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</row>
    <row r="206" spans="2:309" x14ac:dyDescent="0.25">
      <c r="B206" s="1"/>
      <c r="C206" s="1"/>
      <c r="D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</row>
    <row r="207" spans="2:309" x14ac:dyDescent="0.25">
      <c r="B207" s="1"/>
      <c r="C207" s="1"/>
      <c r="D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</row>
    <row r="208" spans="2:309" x14ac:dyDescent="0.25">
      <c r="B208" s="1"/>
      <c r="C208" s="1"/>
      <c r="D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</row>
    <row r="209" spans="2:309" x14ac:dyDescent="0.25">
      <c r="B209" s="1"/>
      <c r="C209" s="1"/>
      <c r="D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</row>
    <row r="210" spans="2:309" x14ac:dyDescent="0.25">
      <c r="B210" s="1"/>
      <c r="C210" s="1"/>
      <c r="D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</row>
    <row r="211" spans="2:309" x14ac:dyDescent="0.25">
      <c r="B211" s="1"/>
      <c r="C211" s="1"/>
      <c r="D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</row>
    <row r="212" spans="2:309" x14ac:dyDescent="0.25">
      <c r="B212" s="1"/>
      <c r="C212" s="1"/>
      <c r="D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</row>
    <row r="213" spans="2:309" x14ac:dyDescent="0.25">
      <c r="B213" s="1"/>
      <c r="C213" s="1"/>
      <c r="D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</row>
    <row r="214" spans="2:309" x14ac:dyDescent="0.25">
      <c r="B214" s="1"/>
      <c r="C214" s="1"/>
      <c r="D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</row>
    <row r="215" spans="2:309" x14ac:dyDescent="0.25">
      <c r="B215" s="1"/>
      <c r="C215" s="1"/>
      <c r="D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</row>
    <row r="216" spans="2:309" x14ac:dyDescent="0.25">
      <c r="B216" s="1"/>
      <c r="C216" s="1"/>
      <c r="D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</row>
    <row r="217" spans="2:309" x14ac:dyDescent="0.25">
      <c r="B217" s="1"/>
      <c r="C217" s="1"/>
      <c r="D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</row>
    <row r="218" spans="2:309" x14ac:dyDescent="0.25">
      <c r="B218" s="1"/>
      <c r="C218" s="1"/>
      <c r="D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</row>
    <row r="219" spans="2:309" x14ac:dyDescent="0.25">
      <c r="B219" s="1"/>
      <c r="C219" s="1"/>
      <c r="D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</row>
    <row r="220" spans="2:309" x14ac:dyDescent="0.25">
      <c r="B220" s="1"/>
      <c r="C220" s="1"/>
      <c r="D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</row>
    <row r="221" spans="2:309" x14ac:dyDescent="0.25">
      <c r="B221" s="1"/>
      <c r="C221" s="1"/>
      <c r="D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</row>
    <row r="222" spans="2:309" x14ac:dyDescent="0.25">
      <c r="B222" s="1"/>
      <c r="C222" s="1"/>
      <c r="D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</row>
    <row r="223" spans="2:309" x14ac:dyDescent="0.25">
      <c r="B223" s="1"/>
      <c r="C223" s="1"/>
      <c r="D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</row>
    <row r="224" spans="2:309" x14ac:dyDescent="0.25">
      <c r="B224" s="1"/>
      <c r="C224" s="1"/>
      <c r="D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</row>
    <row r="225" spans="2:309" x14ac:dyDescent="0.25">
      <c r="B225" s="1"/>
      <c r="C225" s="1"/>
      <c r="D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</row>
    <row r="226" spans="2:309" x14ac:dyDescent="0.25">
      <c r="B226" s="1"/>
      <c r="C226" s="1"/>
      <c r="D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</row>
    <row r="227" spans="2:309" x14ac:dyDescent="0.25">
      <c r="B227" s="1"/>
      <c r="C227" s="1"/>
      <c r="D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</row>
    <row r="228" spans="2:309" x14ac:dyDescent="0.25">
      <c r="B228" s="1"/>
      <c r="C228" s="1"/>
      <c r="D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</row>
    <row r="229" spans="2:309" x14ac:dyDescent="0.25">
      <c r="B229" s="1"/>
      <c r="C229" s="1"/>
      <c r="D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</row>
    <row r="230" spans="2:309" x14ac:dyDescent="0.25">
      <c r="B230" s="1"/>
      <c r="C230" s="1"/>
      <c r="D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</row>
    <row r="231" spans="2:309" x14ac:dyDescent="0.25">
      <c r="B231" s="1"/>
      <c r="C231" s="1"/>
      <c r="D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</row>
    <row r="232" spans="2:309" x14ac:dyDescent="0.25">
      <c r="B232" s="1"/>
      <c r="C232" s="1"/>
      <c r="D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</row>
    <row r="233" spans="2:309" x14ac:dyDescent="0.25">
      <c r="B233" s="1"/>
      <c r="C233" s="1"/>
      <c r="D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</row>
    <row r="234" spans="2:309" x14ac:dyDescent="0.25">
      <c r="B234" s="1"/>
      <c r="C234" s="1"/>
      <c r="D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</row>
    <row r="235" spans="2:309" x14ac:dyDescent="0.25">
      <c r="B235" s="1"/>
      <c r="C235" s="1"/>
      <c r="D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</row>
    <row r="236" spans="2:309" x14ac:dyDescent="0.25">
      <c r="B236" s="1"/>
      <c r="C236" s="1"/>
      <c r="D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</row>
    <row r="237" spans="2:309" x14ac:dyDescent="0.25">
      <c r="B237" s="1"/>
      <c r="C237" s="1"/>
      <c r="D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</row>
    <row r="238" spans="2:309" x14ac:dyDescent="0.25">
      <c r="B238" s="1"/>
      <c r="C238" s="1"/>
      <c r="D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</row>
    <row r="239" spans="2:309" x14ac:dyDescent="0.25">
      <c r="B239" s="1"/>
      <c r="C239" s="1"/>
      <c r="D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</row>
    <row r="240" spans="2:309" x14ac:dyDescent="0.25">
      <c r="B240" s="1"/>
      <c r="C240" s="1"/>
      <c r="D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</row>
    <row r="241" spans="2:309" x14ac:dyDescent="0.25">
      <c r="B241" s="1"/>
      <c r="C241" s="1"/>
      <c r="D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</row>
    <row r="242" spans="2:309" x14ac:dyDescent="0.25">
      <c r="B242" s="1"/>
      <c r="C242" s="1"/>
      <c r="D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</row>
    <row r="243" spans="2:309" x14ac:dyDescent="0.25">
      <c r="B243" s="1"/>
      <c r="C243" s="1"/>
      <c r="D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</row>
    <row r="244" spans="2:309" x14ac:dyDescent="0.25">
      <c r="B244" s="1"/>
      <c r="C244" s="1"/>
      <c r="D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</row>
    <row r="245" spans="2:309" x14ac:dyDescent="0.25">
      <c r="B245" s="1"/>
      <c r="C245" s="1"/>
      <c r="D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</row>
    <row r="246" spans="2:309" x14ac:dyDescent="0.25">
      <c r="B246" s="1"/>
      <c r="C246" s="1"/>
      <c r="D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</row>
    <row r="247" spans="2:309" x14ac:dyDescent="0.25">
      <c r="B247" s="1"/>
      <c r="C247" s="1"/>
      <c r="D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</row>
    <row r="248" spans="2:309" x14ac:dyDescent="0.25">
      <c r="B248" s="1"/>
      <c r="C248" s="1"/>
      <c r="D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</row>
    <row r="249" spans="2:309" x14ac:dyDescent="0.25">
      <c r="B249" s="1"/>
      <c r="C249" s="1"/>
      <c r="D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</row>
    <row r="250" spans="2:309" x14ac:dyDescent="0.25">
      <c r="B250" s="1"/>
      <c r="C250" s="1"/>
      <c r="D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</row>
    <row r="251" spans="2:309" x14ac:dyDescent="0.25">
      <c r="B251" s="1"/>
      <c r="C251" s="1"/>
      <c r="D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</row>
    <row r="252" spans="2:309" x14ac:dyDescent="0.25">
      <c r="B252" s="1"/>
      <c r="C252" s="1"/>
      <c r="D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</row>
    <row r="253" spans="2:309" x14ac:dyDescent="0.25">
      <c r="B253" s="1"/>
      <c r="C253" s="1"/>
      <c r="D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</row>
    <row r="254" spans="2:309" x14ac:dyDescent="0.25">
      <c r="B254" s="1"/>
      <c r="C254" s="1"/>
      <c r="D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</row>
    <row r="255" spans="2:309" x14ac:dyDescent="0.25">
      <c r="B255" s="1"/>
      <c r="C255" s="1"/>
      <c r="D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</row>
    <row r="256" spans="2:309" x14ac:dyDescent="0.25">
      <c r="B256" s="1"/>
      <c r="C256" s="1"/>
      <c r="D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</row>
    <row r="257" spans="2:309" x14ac:dyDescent="0.25">
      <c r="B257" s="1"/>
      <c r="C257" s="1"/>
      <c r="D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</row>
    <row r="258" spans="2:309" x14ac:dyDescent="0.25">
      <c r="B258" s="1"/>
      <c r="C258" s="1"/>
      <c r="D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</row>
    <row r="259" spans="2:309" x14ac:dyDescent="0.25">
      <c r="B259" s="1"/>
      <c r="C259" s="1"/>
      <c r="D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</row>
    <row r="260" spans="2:309" x14ac:dyDescent="0.25">
      <c r="B260" s="1"/>
      <c r="C260" s="1"/>
      <c r="D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</row>
    <row r="261" spans="2:309" x14ac:dyDescent="0.25">
      <c r="B261" s="1"/>
      <c r="C261" s="1"/>
      <c r="D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</row>
    <row r="262" spans="2:309" x14ac:dyDescent="0.25">
      <c r="B262" s="1"/>
      <c r="C262" s="1"/>
      <c r="D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</row>
    <row r="263" spans="2:309" x14ac:dyDescent="0.25">
      <c r="B263" s="1"/>
      <c r="C263" s="1"/>
      <c r="D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</row>
    <row r="264" spans="2:309" x14ac:dyDescent="0.25">
      <c r="B264" s="1"/>
      <c r="C264" s="1"/>
      <c r="D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</row>
    <row r="265" spans="2:309" x14ac:dyDescent="0.25">
      <c r="B265" s="1"/>
      <c r="C265" s="1"/>
      <c r="D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</row>
    <row r="266" spans="2:309" x14ac:dyDescent="0.25">
      <c r="B266" s="1"/>
      <c r="C266" s="1"/>
      <c r="D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</row>
    <row r="267" spans="2:309" x14ac:dyDescent="0.25">
      <c r="B267" s="1"/>
      <c r="C267" s="1"/>
      <c r="D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</row>
    <row r="268" spans="2:309" x14ac:dyDescent="0.25">
      <c r="B268" s="1"/>
      <c r="C268" s="1"/>
      <c r="D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</row>
    <row r="269" spans="2:309" x14ac:dyDescent="0.25">
      <c r="B269" s="1"/>
      <c r="C269" s="1"/>
      <c r="D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</row>
    <row r="270" spans="2:309" x14ac:dyDescent="0.25">
      <c r="B270" s="1"/>
      <c r="C270" s="1"/>
      <c r="D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</row>
    <row r="271" spans="2:309" x14ac:dyDescent="0.25">
      <c r="B271" s="1"/>
      <c r="C271" s="1"/>
      <c r="D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</row>
    <row r="272" spans="2:309" x14ac:dyDescent="0.25">
      <c r="B272" s="1"/>
      <c r="C272" s="1"/>
      <c r="D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</row>
    <row r="273" spans="2:309" x14ac:dyDescent="0.25">
      <c r="B273" s="1"/>
      <c r="C273" s="1"/>
      <c r="D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</row>
    <row r="274" spans="2:309" x14ac:dyDescent="0.25">
      <c r="B274" s="1"/>
      <c r="C274" s="1"/>
      <c r="D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</row>
    <row r="275" spans="2:309" x14ac:dyDescent="0.25">
      <c r="B275" s="1"/>
      <c r="C275" s="1"/>
      <c r="D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</row>
    <row r="276" spans="2:309" x14ac:dyDescent="0.25">
      <c r="B276" s="1"/>
      <c r="C276" s="1"/>
      <c r="D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</row>
    <row r="277" spans="2:309" x14ac:dyDescent="0.25">
      <c r="B277" s="1"/>
      <c r="C277" s="1"/>
      <c r="D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</row>
    <row r="278" spans="2:309" x14ac:dyDescent="0.25">
      <c r="B278" s="1"/>
      <c r="C278" s="1"/>
      <c r="D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</row>
    <row r="279" spans="2:309" x14ac:dyDescent="0.25">
      <c r="B279" s="1"/>
      <c r="C279" s="1"/>
      <c r="D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</row>
    <row r="280" spans="2:309" x14ac:dyDescent="0.25">
      <c r="B280" s="1"/>
      <c r="C280" s="1"/>
      <c r="D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</row>
    <row r="281" spans="2:309" x14ac:dyDescent="0.25">
      <c r="B281" s="1"/>
      <c r="C281" s="1"/>
      <c r="D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</row>
    <row r="282" spans="2:309" x14ac:dyDescent="0.25">
      <c r="B282" s="1"/>
      <c r="C282" s="1"/>
      <c r="D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</row>
    <row r="283" spans="2:309" x14ac:dyDescent="0.25">
      <c r="B283" s="1"/>
      <c r="C283" s="1"/>
      <c r="D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</row>
    <row r="284" spans="2:309" x14ac:dyDescent="0.25">
      <c r="B284" s="1"/>
      <c r="C284" s="1"/>
      <c r="D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</row>
    <row r="285" spans="2:309" x14ac:dyDescent="0.25">
      <c r="B285" s="1"/>
      <c r="C285" s="1"/>
      <c r="D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</row>
    <row r="286" spans="2:309" x14ac:dyDescent="0.25">
      <c r="B286" s="1"/>
      <c r="C286" s="1"/>
      <c r="D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</row>
    <row r="287" spans="2:309" x14ac:dyDescent="0.25">
      <c r="B287" s="1"/>
      <c r="C287" s="1"/>
      <c r="D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</row>
    <row r="288" spans="2:309" x14ac:dyDescent="0.25">
      <c r="B288" s="1"/>
      <c r="C288" s="1"/>
      <c r="D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</row>
    <row r="289" spans="2:309" x14ac:dyDescent="0.25">
      <c r="B289" s="1"/>
      <c r="C289" s="1"/>
      <c r="D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</row>
    <row r="290" spans="2:309" x14ac:dyDescent="0.25">
      <c r="B290" s="1"/>
      <c r="C290" s="1"/>
      <c r="D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</row>
    <row r="291" spans="2:309" x14ac:dyDescent="0.25">
      <c r="B291" s="1"/>
      <c r="C291" s="1"/>
      <c r="D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</row>
    <row r="292" spans="2:309" x14ac:dyDescent="0.25">
      <c r="B292" s="1"/>
      <c r="C292" s="1"/>
      <c r="D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</row>
    <row r="293" spans="2:309" x14ac:dyDescent="0.25">
      <c r="B293" s="1"/>
      <c r="C293" s="1"/>
      <c r="D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</row>
    <row r="294" spans="2:309" x14ac:dyDescent="0.25">
      <c r="B294" s="1"/>
      <c r="C294" s="1"/>
      <c r="D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</row>
    <row r="295" spans="2:309" x14ac:dyDescent="0.25">
      <c r="B295" s="1"/>
      <c r="C295" s="1"/>
      <c r="D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</row>
    <row r="296" spans="2:309" x14ac:dyDescent="0.25">
      <c r="B296" s="1"/>
      <c r="C296" s="1"/>
      <c r="D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</row>
    <row r="297" spans="2:309" x14ac:dyDescent="0.25">
      <c r="B297" s="1"/>
      <c r="C297" s="1"/>
      <c r="D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</row>
    <row r="298" spans="2:309" x14ac:dyDescent="0.25">
      <c r="B298" s="1"/>
      <c r="C298" s="1"/>
      <c r="D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</row>
    <row r="299" spans="2:309" x14ac:dyDescent="0.25">
      <c r="B299" s="1"/>
      <c r="C299" s="1"/>
      <c r="D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</row>
    <row r="300" spans="2:309" x14ac:dyDescent="0.25">
      <c r="B300" s="1"/>
      <c r="C300" s="1"/>
      <c r="D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</row>
    <row r="301" spans="2:309" x14ac:dyDescent="0.25">
      <c r="B301" s="1"/>
      <c r="C301" s="1"/>
      <c r="D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</row>
    <row r="302" spans="2:309" x14ac:dyDescent="0.25">
      <c r="B302" s="1"/>
      <c r="C302" s="1"/>
      <c r="D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</row>
    <row r="303" spans="2:309" x14ac:dyDescent="0.25">
      <c r="B303" s="1"/>
      <c r="C303" s="1"/>
      <c r="D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</row>
    <row r="304" spans="2:309" x14ac:dyDescent="0.25">
      <c r="B304" s="1"/>
      <c r="C304" s="1"/>
      <c r="D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</row>
    <row r="305" spans="2:309" x14ac:dyDescent="0.25">
      <c r="B305" s="1"/>
      <c r="C305" s="1"/>
      <c r="D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</row>
    <row r="306" spans="2:309" x14ac:dyDescent="0.25">
      <c r="B306" s="1"/>
      <c r="C306" s="1"/>
      <c r="D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</row>
    <row r="307" spans="2:309" x14ac:dyDescent="0.25">
      <c r="B307" s="1"/>
      <c r="C307" s="1"/>
      <c r="D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</row>
    <row r="308" spans="2:309" x14ac:dyDescent="0.25">
      <c r="B308" s="1"/>
      <c r="C308" s="1"/>
      <c r="D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</row>
    <row r="309" spans="2:309" x14ac:dyDescent="0.25">
      <c r="B309" s="1"/>
      <c r="C309" s="1"/>
      <c r="D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</row>
    <row r="310" spans="2:309" x14ac:dyDescent="0.25">
      <c r="B310" s="1"/>
      <c r="C310" s="1"/>
      <c r="D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</row>
    <row r="311" spans="2:309" x14ac:dyDescent="0.25">
      <c r="B311" s="1"/>
      <c r="C311" s="1"/>
      <c r="D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</row>
    <row r="312" spans="2:309" x14ac:dyDescent="0.25">
      <c r="B312" s="1"/>
      <c r="C312" s="1"/>
      <c r="D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</row>
    <row r="313" spans="2:309" x14ac:dyDescent="0.25">
      <c r="B313" s="1"/>
      <c r="C313" s="1"/>
      <c r="D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</row>
    <row r="314" spans="2:309" x14ac:dyDescent="0.25">
      <c r="B314" s="1"/>
      <c r="C314" s="1"/>
      <c r="D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</row>
    <row r="315" spans="2:309" x14ac:dyDescent="0.25">
      <c r="B315" s="1"/>
      <c r="C315" s="1"/>
      <c r="D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</row>
    <row r="316" spans="2:309" x14ac:dyDescent="0.25">
      <c r="B316" s="1"/>
      <c r="C316" s="1"/>
      <c r="D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</row>
    <row r="317" spans="2:309" x14ac:dyDescent="0.25">
      <c r="B317" s="1"/>
      <c r="C317" s="1"/>
      <c r="D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</row>
    <row r="318" spans="2:309" x14ac:dyDescent="0.25">
      <c r="B318" s="1"/>
      <c r="C318" s="1"/>
      <c r="D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</row>
    <row r="319" spans="2:309" x14ac:dyDescent="0.25">
      <c r="B319" s="1"/>
      <c r="C319" s="1"/>
      <c r="D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</row>
    <row r="320" spans="2:309" x14ac:dyDescent="0.25">
      <c r="B320" s="1"/>
      <c r="C320" s="1"/>
      <c r="D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</row>
    <row r="321" spans="2:309" x14ac:dyDescent="0.25">
      <c r="B321" s="1"/>
      <c r="C321" s="1"/>
      <c r="D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</row>
    <row r="322" spans="2:309" x14ac:dyDescent="0.25">
      <c r="B322" s="1"/>
      <c r="C322" s="1"/>
      <c r="D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</row>
    <row r="323" spans="2:309" x14ac:dyDescent="0.25">
      <c r="B323" s="1"/>
      <c r="C323" s="1"/>
      <c r="D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</row>
    <row r="324" spans="2:309" x14ac:dyDescent="0.25">
      <c r="B324" s="1"/>
      <c r="C324" s="1"/>
      <c r="D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</row>
    <row r="325" spans="2:309" x14ac:dyDescent="0.25">
      <c r="B325" s="1"/>
      <c r="C325" s="1"/>
      <c r="D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</row>
    <row r="326" spans="2:309" x14ac:dyDescent="0.25">
      <c r="B326" s="1"/>
      <c r="C326" s="1"/>
      <c r="D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</row>
    <row r="327" spans="2:309" x14ac:dyDescent="0.25">
      <c r="B327" s="1"/>
      <c r="C327" s="1"/>
      <c r="D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</row>
    <row r="328" spans="2:309" x14ac:dyDescent="0.25">
      <c r="B328" s="1"/>
      <c r="C328" s="1"/>
      <c r="D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</row>
    <row r="329" spans="2:309" x14ac:dyDescent="0.25">
      <c r="B329" s="1"/>
      <c r="C329" s="1"/>
      <c r="D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</row>
    <row r="330" spans="2:309" x14ac:dyDescent="0.25">
      <c r="B330" s="1"/>
      <c r="C330" s="1"/>
      <c r="D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</row>
    <row r="331" spans="2:309" x14ac:dyDescent="0.25">
      <c r="B331" s="1"/>
      <c r="C331" s="1"/>
      <c r="D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</row>
    <row r="332" spans="2:309" x14ac:dyDescent="0.25">
      <c r="B332" s="1"/>
      <c r="C332" s="1"/>
      <c r="D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</row>
    <row r="333" spans="2:309" x14ac:dyDescent="0.25">
      <c r="B333" s="1"/>
      <c r="C333" s="1"/>
      <c r="D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</row>
    <row r="334" spans="2:309" x14ac:dyDescent="0.25">
      <c r="B334" s="1"/>
      <c r="C334" s="1"/>
      <c r="D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</row>
    <row r="335" spans="2:309" x14ac:dyDescent="0.25">
      <c r="B335" s="1"/>
      <c r="C335" s="1"/>
      <c r="D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</row>
    <row r="336" spans="2:309" x14ac:dyDescent="0.25">
      <c r="B336" s="1"/>
      <c r="C336" s="1"/>
      <c r="D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</row>
    <row r="337" spans="2:309" x14ac:dyDescent="0.25">
      <c r="B337" s="1"/>
      <c r="C337" s="1"/>
      <c r="D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</row>
    <row r="338" spans="2:309" x14ac:dyDescent="0.25">
      <c r="B338" s="1"/>
      <c r="C338" s="1"/>
      <c r="D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</row>
    <row r="339" spans="2:309" x14ac:dyDescent="0.25">
      <c r="B339" s="1"/>
      <c r="C339" s="1"/>
      <c r="D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</row>
    <row r="340" spans="2:309" x14ac:dyDescent="0.25">
      <c r="B340" s="1"/>
      <c r="C340" s="1"/>
      <c r="D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</row>
    <row r="341" spans="2:309" x14ac:dyDescent="0.25">
      <c r="B341" s="1"/>
      <c r="C341" s="1"/>
      <c r="D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</row>
    <row r="342" spans="2:309" x14ac:dyDescent="0.25">
      <c r="B342" s="1"/>
      <c r="C342" s="1"/>
      <c r="D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</row>
    <row r="343" spans="2:309" x14ac:dyDescent="0.25">
      <c r="B343" s="1"/>
      <c r="C343" s="1"/>
      <c r="D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</row>
    <row r="344" spans="2:309" x14ac:dyDescent="0.25">
      <c r="B344" s="1"/>
      <c r="C344" s="1"/>
      <c r="D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</row>
    <row r="345" spans="2:309" x14ac:dyDescent="0.25">
      <c r="B345" s="1"/>
      <c r="C345" s="1"/>
      <c r="D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</row>
    <row r="346" spans="2:309" x14ac:dyDescent="0.25">
      <c r="B346" s="1"/>
      <c r="C346" s="1"/>
      <c r="D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</row>
    <row r="347" spans="2:309" x14ac:dyDescent="0.25">
      <c r="B347" s="1"/>
      <c r="C347" s="1"/>
      <c r="D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</row>
    <row r="348" spans="2:309" x14ac:dyDescent="0.25">
      <c r="B348" s="1"/>
      <c r="C348" s="1"/>
      <c r="D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</row>
    <row r="349" spans="2:309" x14ac:dyDescent="0.25">
      <c r="B349" s="1"/>
      <c r="C349" s="1"/>
      <c r="D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</row>
    <row r="350" spans="2:309" x14ac:dyDescent="0.25">
      <c r="B350" s="1"/>
      <c r="C350" s="1"/>
      <c r="D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</row>
    <row r="351" spans="2:309" x14ac:dyDescent="0.25">
      <c r="B351" s="1"/>
      <c r="C351" s="1"/>
      <c r="D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</row>
    <row r="352" spans="2:309" x14ac:dyDescent="0.25">
      <c r="B352" s="1"/>
      <c r="C352" s="1"/>
      <c r="D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</row>
    <row r="353" spans="2:309" x14ac:dyDescent="0.25">
      <c r="B353" s="1"/>
      <c r="C353" s="1"/>
      <c r="D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</row>
    <row r="354" spans="2:309" x14ac:dyDescent="0.25">
      <c r="B354" s="1"/>
      <c r="C354" s="1"/>
      <c r="D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</row>
    <row r="355" spans="2:309" x14ac:dyDescent="0.25">
      <c r="B355" s="1"/>
      <c r="C355" s="1"/>
      <c r="D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</row>
    <row r="356" spans="2:309" x14ac:dyDescent="0.25">
      <c r="B356" s="1"/>
      <c r="C356" s="1"/>
      <c r="D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</row>
    <row r="357" spans="2:309" x14ac:dyDescent="0.25">
      <c r="B357" s="1"/>
      <c r="C357" s="1"/>
      <c r="D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</row>
    <row r="358" spans="2:309" x14ac:dyDescent="0.25">
      <c r="B358" s="1"/>
      <c r="C358" s="1"/>
      <c r="D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</row>
    <row r="359" spans="2:309" x14ac:dyDescent="0.25">
      <c r="B359" s="1"/>
      <c r="C359" s="1"/>
      <c r="D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</row>
    <row r="360" spans="2:309" x14ac:dyDescent="0.25">
      <c r="B360" s="1"/>
      <c r="C360" s="1"/>
      <c r="D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</row>
    <row r="361" spans="2:309" x14ac:dyDescent="0.25">
      <c r="B361" s="1"/>
      <c r="C361" s="1"/>
      <c r="D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</row>
    <row r="362" spans="2:309" x14ac:dyDescent="0.25">
      <c r="B362" s="1"/>
      <c r="C362" s="1"/>
      <c r="D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</row>
    <row r="363" spans="2:309" x14ac:dyDescent="0.25">
      <c r="B363" s="1"/>
      <c r="C363" s="1"/>
      <c r="D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</row>
    <row r="364" spans="2:309" x14ac:dyDescent="0.25">
      <c r="B364" s="1"/>
      <c r="C364" s="1"/>
      <c r="D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</row>
    <row r="365" spans="2:309" x14ac:dyDescent="0.25">
      <c r="B365" s="1"/>
      <c r="C365" s="1"/>
      <c r="D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</row>
    <row r="366" spans="2:309" x14ac:dyDescent="0.25">
      <c r="B366" s="1"/>
      <c r="C366" s="1"/>
      <c r="D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</row>
    <row r="367" spans="2:309" x14ac:dyDescent="0.25">
      <c r="B367" s="1"/>
      <c r="C367" s="1"/>
      <c r="D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</row>
    <row r="368" spans="2:309" x14ac:dyDescent="0.25">
      <c r="B368" s="1"/>
      <c r="C368" s="1"/>
      <c r="D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</row>
    <row r="369" spans="2:309" x14ac:dyDescent="0.25">
      <c r="B369" s="1"/>
      <c r="C369" s="1"/>
      <c r="D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</row>
    <row r="370" spans="2:309" x14ac:dyDescent="0.25">
      <c r="B370" s="1"/>
      <c r="C370" s="1"/>
      <c r="D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</row>
    <row r="371" spans="2:309" x14ac:dyDescent="0.25">
      <c r="B371" s="1"/>
      <c r="C371" s="1"/>
      <c r="D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</row>
    <row r="372" spans="2:309" x14ac:dyDescent="0.25">
      <c r="B372" s="1"/>
      <c r="C372" s="1"/>
      <c r="D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</row>
    <row r="373" spans="2:309" x14ac:dyDescent="0.25">
      <c r="B373" s="1"/>
      <c r="C373" s="1"/>
      <c r="D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</row>
    <row r="374" spans="2:309" x14ac:dyDescent="0.25">
      <c r="B374" s="1"/>
      <c r="C374" s="1"/>
      <c r="D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</row>
    <row r="375" spans="2:309" x14ac:dyDescent="0.25">
      <c r="B375" s="1"/>
      <c r="C375" s="1"/>
      <c r="D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</row>
    <row r="376" spans="2:309" x14ac:dyDescent="0.25">
      <c r="B376" s="1"/>
      <c r="C376" s="1"/>
      <c r="D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</row>
    <row r="377" spans="2:309" x14ac:dyDescent="0.25">
      <c r="B377" s="1"/>
      <c r="C377" s="1"/>
      <c r="D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</row>
    <row r="378" spans="2:309" x14ac:dyDescent="0.25">
      <c r="B378" s="1"/>
      <c r="C378" s="1"/>
      <c r="D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</row>
    <row r="379" spans="2:309" x14ac:dyDescent="0.25">
      <c r="B379" s="1"/>
      <c r="C379" s="1"/>
      <c r="D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</row>
    <row r="380" spans="2:309" x14ac:dyDescent="0.25">
      <c r="B380" s="1"/>
      <c r="C380" s="1"/>
      <c r="D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</row>
    <row r="381" spans="2:309" x14ac:dyDescent="0.25">
      <c r="B381" s="1"/>
      <c r="C381" s="1"/>
      <c r="D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</row>
    <row r="382" spans="2:309" x14ac:dyDescent="0.25">
      <c r="B382" s="1"/>
      <c r="C382" s="1"/>
      <c r="D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</row>
    <row r="383" spans="2:309" x14ac:dyDescent="0.25">
      <c r="B383" s="1"/>
      <c r="C383" s="1"/>
      <c r="D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</row>
    <row r="384" spans="2:309" x14ac:dyDescent="0.25">
      <c r="B384" s="1"/>
      <c r="C384" s="1"/>
      <c r="D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</row>
    <row r="385" spans="2:309" x14ac:dyDescent="0.25">
      <c r="B385" s="1"/>
      <c r="C385" s="1"/>
      <c r="D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</row>
    <row r="386" spans="2:309" x14ac:dyDescent="0.25">
      <c r="B386" s="1"/>
      <c r="C386" s="1"/>
      <c r="D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</row>
    <row r="387" spans="2:309" x14ac:dyDescent="0.25">
      <c r="B387" s="1"/>
      <c r="C387" s="1"/>
      <c r="D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</row>
    <row r="388" spans="2:309" x14ac:dyDescent="0.25">
      <c r="B388" s="1"/>
      <c r="C388" s="1"/>
      <c r="D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</row>
    <row r="389" spans="2:309" x14ac:dyDescent="0.25">
      <c r="B389" s="1"/>
      <c r="C389" s="1"/>
      <c r="D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</row>
    <row r="390" spans="2:309" x14ac:dyDescent="0.25">
      <c r="B390" s="1"/>
      <c r="C390" s="1"/>
      <c r="D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</row>
    <row r="391" spans="2:309" x14ac:dyDescent="0.25">
      <c r="B391" s="1"/>
      <c r="C391" s="1"/>
      <c r="D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</row>
    <row r="392" spans="2:309" x14ac:dyDescent="0.25">
      <c r="B392" s="1"/>
      <c r="C392" s="1"/>
      <c r="D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</row>
    <row r="393" spans="2:309" x14ac:dyDescent="0.25">
      <c r="B393" s="1"/>
      <c r="C393" s="1"/>
      <c r="D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</row>
    <row r="394" spans="2:309" x14ac:dyDescent="0.25">
      <c r="B394" s="1"/>
      <c r="C394" s="1"/>
      <c r="D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</row>
    <row r="395" spans="2:309" x14ac:dyDescent="0.25">
      <c r="B395" s="1"/>
      <c r="C395" s="1"/>
      <c r="D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</row>
    <row r="396" spans="2:309" x14ac:dyDescent="0.25">
      <c r="B396" s="1"/>
      <c r="C396" s="1"/>
      <c r="D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</row>
    <row r="397" spans="2:309" x14ac:dyDescent="0.25">
      <c r="B397" s="1"/>
      <c r="C397" s="1"/>
      <c r="D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</row>
    <row r="398" spans="2:309" x14ac:dyDescent="0.25">
      <c r="B398" s="1"/>
      <c r="C398" s="1"/>
      <c r="D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</row>
    <row r="399" spans="2:309" x14ac:dyDescent="0.25">
      <c r="B399" s="1"/>
      <c r="C399" s="1"/>
      <c r="D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</row>
    <row r="400" spans="2:309" x14ac:dyDescent="0.25">
      <c r="B400" s="1"/>
      <c r="C400" s="1"/>
      <c r="D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</row>
    <row r="401" spans="2:309" x14ac:dyDescent="0.25">
      <c r="B401" s="1"/>
      <c r="C401" s="1"/>
      <c r="D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</row>
    <row r="402" spans="2:309" x14ac:dyDescent="0.25">
      <c r="B402" s="1"/>
      <c r="C402" s="1"/>
      <c r="D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</row>
    <row r="403" spans="2:309" x14ac:dyDescent="0.25">
      <c r="B403" s="1"/>
      <c r="C403" s="1"/>
      <c r="D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</row>
    <row r="404" spans="2:309" x14ac:dyDescent="0.25">
      <c r="B404" s="1"/>
      <c r="C404" s="1"/>
      <c r="D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</row>
    <row r="405" spans="2:309" x14ac:dyDescent="0.25">
      <c r="B405" s="1"/>
      <c r="C405" s="1"/>
      <c r="D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</row>
    <row r="406" spans="2:309" x14ac:dyDescent="0.25">
      <c r="B406" s="1"/>
      <c r="C406" s="1"/>
      <c r="D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</row>
    <row r="407" spans="2:309" x14ac:dyDescent="0.25">
      <c r="B407" s="1"/>
      <c r="C407" s="1"/>
      <c r="D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</row>
    <row r="408" spans="2:309" x14ac:dyDescent="0.25">
      <c r="B408" s="1"/>
      <c r="C408" s="1"/>
      <c r="D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</row>
    <row r="409" spans="2:309" x14ac:dyDescent="0.25">
      <c r="B409" s="1"/>
      <c r="C409" s="1"/>
      <c r="D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</row>
  </sheetData>
  <mergeCells count="45">
    <mergeCell ref="G26:L26"/>
    <mergeCell ref="G27:L27"/>
    <mergeCell ref="G28:L28"/>
    <mergeCell ref="B41:C41"/>
    <mergeCell ref="C15:D15"/>
    <mergeCell ref="G15:S15"/>
    <mergeCell ref="C16:D16"/>
    <mergeCell ref="G16:S16"/>
    <mergeCell ref="C17:D17"/>
    <mergeCell ref="C18:D18"/>
    <mergeCell ref="B19:B20"/>
    <mergeCell ref="B21:B22"/>
    <mergeCell ref="G18:L18"/>
    <mergeCell ref="G19:L19"/>
    <mergeCell ref="G20:L20"/>
    <mergeCell ref="G21:L21"/>
    <mergeCell ref="G22:L22"/>
    <mergeCell ref="G24:L24"/>
    <mergeCell ref="G25:L25"/>
    <mergeCell ref="G23:L23"/>
    <mergeCell ref="G8:S8"/>
    <mergeCell ref="C9:D9"/>
    <mergeCell ref="G9:S9"/>
    <mergeCell ref="C10:D10"/>
    <mergeCell ref="G10:S10"/>
    <mergeCell ref="C11:D11"/>
    <mergeCell ref="G11:S11"/>
    <mergeCell ref="C12:D12"/>
    <mergeCell ref="G12:S12"/>
    <mergeCell ref="C13:D13"/>
    <mergeCell ref="G13:S13"/>
    <mergeCell ref="C14:D14"/>
    <mergeCell ref="G14:S14"/>
    <mergeCell ref="B2:D2"/>
    <mergeCell ref="G2:S2"/>
    <mergeCell ref="C3:D3"/>
    <mergeCell ref="G3:S3"/>
    <mergeCell ref="B4:B5"/>
    <mergeCell ref="G4:S4"/>
    <mergeCell ref="G5:S5"/>
    <mergeCell ref="C6:D6"/>
    <mergeCell ref="G6:S6"/>
    <mergeCell ref="C7:D7"/>
    <mergeCell ref="G7:S7"/>
    <mergeCell ref="C8:D8"/>
  </mergeCells>
  <dataValidations count="2">
    <dataValidation allowBlank="1" showDropDown="1" showInputMessage="1" showErrorMessage="1" sqref="C14:D15" xr:uid="{00000000-0002-0000-0100-000000000000}"/>
    <dataValidation type="time" operator="greaterThanOrEqual" allowBlank="1" showInputMessage="1" showErrorMessage="1" errorTitle="Złe dane" error="Godzina zakończenia nie może być wcześniejsza niż godzina rozpoczęcia odpracowania." promptTitle="Sposób wprowadzenia danych" prompt="Godziny powinny zostać wprowadzone w formacie UTC (np 21:00, 22:00, etc)" sqref="D22" xr:uid="{00000000-0002-0000-0100-000001000000}">
      <formula1>C22</formula1>
    </dataValidation>
  </dataValidations>
  <pageMargins left="0.25" right="0.25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DropDown="1" showInputMessage="1" showErrorMessage="1" xr:uid="{00000000-0002-0000-0100-000002000000}">
          <x14:formula1>
            <xm:f>Sheet1!$C$5:$C$49</xm:f>
          </x14:formula1>
          <xm:sqref>C6:D7</xm:sqref>
        </x14:dataValidation>
        <x14:dataValidation type="list" allowBlank="1" showDropDown="1" showInputMessage="1" showErrorMessage="1" promptTitle="Sposób wprowadzenia danych" prompt="W komórkę Rating[h] lub Audit[h] należy dodać wartość z &quot;overtime&quot; i rozdzielić w zależności jakie czynności zostały wykonywane na nadgodzinach." xr:uid="{00000000-0002-0000-0100-000003000000}">
          <x14:formula1>
            <xm:f>Sheet1!$C$5:$C$49</xm:f>
          </x14:formula1>
          <xm:sqref>C13:D13</xm:sqref>
        </x14:dataValidation>
        <x14:dataValidation type="list" allowBlank="1" showDropDown="1" showInputMessage="1" showErrorMessage="1" promptTitle="Sposób wprowadzenia danych" prompt="W Less należy wpisać czas, który został poświęcony na inne czynności niż rating/audyt np. huddle, technical issues." xr:uid="{00000000-0002-0000-0100-000004000000}">
          <x14:formula1>
            <xm:f>Sheet1!$C$5:$C$49</xm:f>
          </x14:formula1>
          <xm:sqref>C16:D16</xm:sqref>
        </x14:dataValidation>
        <x14:dataValidation type="list" allowBlank="1" showDropDown="1" showInputMessage="1" showErrorMessage="1" promptTitle="Sposób wprowadzenia danych" prompt="Dane o odpracowaniu spóźnienia powinny być wprowadzone w formacie 0.25; 0.5; 0,75 itp i powinny pokrywać się z czasem spóźnienia." xr:uid="{00000000-0002-0000-0100-000005000000}">
          <x14:formula1>
            <xm:f>Sheet1!$C$5:$C$49</xm:f>
          </x14:formula1>
          <xm:sqref>C18:D18</xm:sqref>
        </x14:dataValidation>
        <x14:dataValidation type="list" allowBlank="1" showDropDown="1" showInputMessage="1" showErrorMessage="1" promptTitle="Sposób wprowadzenia danych" prompt="Dane o spóźnieniu powinny być wprowadzone w formacie 0.25; 0.5; 0,75 itp." xr:uid="{00000000-0002-0000-0100-000006000000}">
          <x14:formula1>
            <xm:f>Sheet1!$C$5:$C$49</xm:f>
          </x14:formula1>
          <xm:sqref>C17:D17</xm:sqref>
        </x14:dataValidation>
        <x14:dataValidation type="list" operator="equal" allowBlank="1" showDropDown="1" showInputMessage="1" showErrorMessage="1" errorTitle="Złe dane" error="Odpracowanie wyjścia prywatnego powinno zawierać się w przedziale 18:00 - 10:00 oraz być w formacie np 18:15, 18:30, 18:45 itp" promptTitle="Sposób wprowadzenia danych" prompt="Godziny powinny zostać wprowadzone w formacie UTC (np 21:00, 22:00, etc)" xr:uid="{00000000-0002-0000-0100-000007000000}">
          <x14:formula1>
            <xm:f>Sheet1!$F$5:$F$69</xm:f>
          </x14:formula1>
          <xm:sqref>C22</xm:sqref>
        </x14:dataValidation>
        <x14:dataValidation type="list" operator="notBetween" allowBlank="1" showDropDown="1" showInputMessage="1" showErrorMessage="1" errorTitle="Złe dane" error="Wyjście prywatne powinno zawierać się w przedziale 18:00 - 10:00 oraz być w formacie np 18:15, 18:30, 18:45 itp" promptTitle="Sposób wprowadzenia danych" prompt="Godziny powinny zostać wprowadzone w formacie UTC (np 21:00, 22:00, etc)" xr:uid="{00000000-0002-0000-0100-000008000000}">
          <x14:formula1>
            <xm:f>Sheet1!$F$5:$F$69</xm:f>
          </x14:formula1>
          <xm:sqref>C20:D20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2"/>
  <dimension ref="A1:DJ223"/>
  <sheetViews>
    <sheetView zoomScaleNormal="100" workbookViewId="0">
      <selection activeCell="G17" sqref="G17"/>
    </sheetView>
  </sheetViews>
  <sheetFormatPr defaultRowHeight="15" x14ac:dyDescent="0.25"/>
  <cols>
    <col min="1" max="1" width="14.85546875" style="22" bestFit="1" customWidth="1"/>
    <col min="2" max="2" width="21.7109375" style="23" bestFit="1" customWidth="1"/>
    <col min="3" max="3" width="25.7109375" style="23" bestFit="1" customWidth="1"/>
    <col min="6" max="6" width="9.140625" customWidth="1"/>
    <col min="10" max="10" width="16.42578125" bestFit="1" customWidth="1"/>
    <col min="12" max="12" width="7.42578125" customWidth="1"/>
  </cols>
  <sheetData>
    <row r="1" spans="1:114" x14ac:dyDescent="0.25">
      <c r="A1" s="25" t="s">
        <v>0</v>
      </c>
      <c r="B1" s="26" t="s">
        <v>35</v>
      </c>
      <c r="C1" s="26" t="s">
        <v>36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</row>
    <row r="2" spans="1:114" s="8" customFormat="1" x14ac:dyDescent="0.25">
      <c r="A2" s="16"/>
      <c r="B2" s="17"/>
      <c r="C2" s="17"/>
    </row>
    <row r="3" spans="1:114" s="8" customFormat="1" x14ac:dyDescent="0.25">
      <c r="A3" s="16"/>
      <c r="B3" s="18"/>
      <c r="C3" s="18"/>
    </row>
    <row r="4" spans="1:114" s="8" customFormat="1" x14ac:dyDescent="0.25">
      <c r="A4" s="16"/>
      <c r="B4" s="18"/>
      <c r="C4" s="18"/>
    </row>
    <row r="5" spans="1:114" s="8" customFormat="1" x14ac:dyDescent="0.25">
      <c r="A5" s="16"/>
      <c r="B5" s="18"/>
      <c r="C5" s="18"/>
    </row>
    <row r="6" spans="1:114" s="8" customFormat="1" x14ac:dyDescent="0.25">
      <c r="A6" s="16"/>
      <c r="B6" s="18"/>
      <c r="C6" s="18"/>
    </row>
    <row r="7" spans="1:114" s="8" customFormat="1" x14ac:dyDescent="0.25">
      <c r="A7" s="16"/>
      <c r="B7" s="18"/>
      <c r="C7" s="18"/>
    </row>
    <row r="8" spans="1:114" s="8" customFormat="1" x14ac:dyDescent="0.25">
      <c r="A8" s="16"/>
      <c r="B8" s="18"/>
      <c r="C8" s="18"/>
    </row>
    <row r="9" spans="1:114" s="8" customFormat="1" x14ac:dyDescent="0.25">
      <c r="A9" s="16"/>
      <c r="B9" s="18"/>
      <c r="C9" s="18"/>
    </row>
    <row r="10" spans="1:114" s="8" customFormat="1" x14ac:dyDescent="0.25">
      <c r="A10" s="16"/>
      <c r="B10" s="18"/>
      <c r="C10" s="18"/>
    </row>
    <row r="11" spans="1:114" s="8" customFormat="1" x14ac:dyDescent="0.25">
      <c r="A11" s="16"/>
      <c r="B11" s="18"/>
      <c r="C11" s="18"/>
    </row>
    <row r="12" spans="1:114" s="8" customFormat="1" ht="15.75" thickBot="1" x14ac:dyDescent="0.3">
      <c r="A12" s="16"/>
      <c r="B12" s="18"/>
      <c r="C12" s="18"/>
    </row>
    <row r="13" spans="1:114" ht="15.75" thickBot="1" x14ac:dyDescent="0.3">
      <c r="A13" s="16"/>
      <c r="B13" s="18"/>
      <c r="C13" s="18"/>
      <c r="D13" s="8"/>
      <c r="E13" s="8"/>
      <c r="F13" s="8"/>
      <c r="G13" s="8"/>
      <c r="H13" s="8"/>
      <c r="I13" s="8"/>
      <c r="J13" s="111" t="s">
        <v>24</v>
      </c>
      <c r="K13" s="111"/>
      <c r="L13" s="27">
        <v>0</v>
      </c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</row>
    <row r="14" spans="1:114" s="8" customFormat="1" x14ac:dyDescent="0.25">
      <c r="A14" s="16"/>
      <c r="B14" s="18"/>
      <c r="C14" s="18"/>
    </row>
    <row r="15" spans="1:114" s="8" customFormat="1" x14ac:dyDescent="0.25">
      <c r="A15" s="16"/>
      <c r="B15" s="18"/>
      <c r="C15" s="18"/>
    </row>
    <row r="16" spans="1:114" s="8" customFormat="1" x14ac:dyDescent="0.25">
      <c r="A16" s="16"/>
      <c r="B16" s="18"/>
      <c r="C16" s="18"/>
    </row>
    <row r="17" spans="1:3" s="8" customFormat="1" x14ac:dyDescent="0.25">
      <c r="A17" s="16"/>
      <c r="B17" s="18"/>
      <c r="C17" s="18"/>
    </row>
    <row r="18" spans="1:3" s="8" customFormat="1" x14ac:dyDescent="0.25">
      <c r="A18" s="16"/>
      <c r="B18" s="18"/>
      <c r="C18" s="18"/>
    </row>
    <row r="19" spans="1:3" s="8" customFormat="1" x14ac:dyDescent="0.25">
      <c r="A19" s="16"/>
      <c r="B19" s="18"/>
      <c r="C19" s="18"/>
    </row>
    <row r="20" spans="1:3" s="8" customFormat="1" x14ac:dyDescent="0.25">
      <c r="A20" s="16"/>
      <c r="B20" s="18"/>
      <c r="C20" s="18"/>
    </row>
    <row r="21" spans="1:3" s="8" customFormat="1" x14ac:dyDescent="0.25">
      <c r="A21" s="16"/>
      <c r="B21" s="18"/>
      <c r="C21" s="18"/>
    </row>
    <row r="22" spans="1:3" s="8" customFormat="1" x14ac:dyDescent="0.25">
      <c r="A22" s="16"/>
      <c r="B22" s="18"/>
      <c r="C22" s="18"/>
    </row>
    <row r="23" spans="1:3" s="8" customFormat="1" x14ac:dyDescent="0.25">
      <c r="A23" s="16"/>
      <c r="B23" s="18"/>
      <c r="C23" s="18"/>
    </row>
    <row r="24" spans="1:3" s="8" customFormat="1" x14ac:dyDescent="0.25">
      <c r="A24" s="16"/>
      <c r="B24" s="18"/>
      <c r="C24" s="18"/>
    </row>
    <row r="25" spans="1:3" s="8" customFormat="1" x14ac:dyDescent="0.25">
      <c r="A25" s="16"/>
      <c r="B25" s="18"/>
      <c r="C25" s="18"/>
    </row>
    <row r="26" spans="1:3" s="8" customFormat="1" x14ac:dyDescent="0.25">
      <c r="A26" s="16"/>
      <c r="B26" s="18"/>
      <c r="C26" s="18"/>
    </row>
    <row r="27" spans="1:3" s="8" customFormat="1" x14ac:dyDescent="0.25">
      <c r="A27" s="16"/>
      <c r="B27" s="18"/>
      <c r="C27" s="18"/>
    </row>
    <row r="28" spans="1:3" s="8" customFormat="1" x14ac:dyDescent="0.25">
      <c r="A28" s="16"/>
      <c r="B28" s="18"/>
      <c r="C28" s="18"/>
    </row>
    <row r="29" spans="1:3" s="8" customFormat="1" x14ac:dyDescent="0.25">
      <c r="A29" s="16"/>
      <c r="B29" s="18"/>
      <c r="C29" s="18"/>
    </row>
    <row r="30" spans="1:3" s="8" customFormat="1" x14ac:dyDescent="0.25">
      <c r="A30" s="16"/>
      <c r="B30" s="18"/>
      <c r="C30" s="18"/>
    </row>
    <row r="31" spans="1:3" s="8" customFormat="1" x14ac:dyDescent="0.25">
      <c r="A31" s="16"/>
      <c r="B31" s="18"/>
      <c r="C31" s="18"/>
    </row>
    <row r="32" spans="1:3" s="8" customFormat="1" x14ac:dyDescent="0.25">
      <c r="A32" s="16"/>
      <c r="B32" s="18"/>
      <c r="C32" s="18"/>
    </row>
    <row r="33" spans="1:3" s="8" customFormat="1" x14ac:dyDescent="0.25">
      <c r="A33" s="16"/>
      <c r="B33" s="18"/>
      <c r="C33" s="18"/>
    </row>
    <row r="34" spans="1:3" s="8" customFormat="1" x14ac:dyDescent="0.25">
      <c r="A34" s="16"/>
      <c r="B34" s="18"/>
      <c r="C34" s="18"/>
    </row>
    <row r="35" spans="1:3" s="8" customFormat="1" x14ac:dyDescent="0.25">
      <c r="A35" s="16"/>
      <c r="B35" s="18"/>
      <c r="C35" s="18"/>
    </row>
    <row r="36" spans="1:3" s="8" customFormat="1" x14ac:dyDescent="0.25">
      <c r="A36" s="16"/>
      <c r="B36" s="18"/>
      <c r="C36" s="18"/>
    </row>
    <row r="37" spans="1:3" s="8" customFormat="1" x14ac:dyDescent="0.25">
      <c r="A37" s="16"/>
      <c r="B37" s="18"/>
      <c r="C37" s="18"/>
    </row>
    <row r="38" spans="1:3" s="8" customFormat="1" x14ac:dyDescent="0.25">
      <c r="A38" s="16"/>
      <c r="B38" s="18"/>
      <c r="C38" s="18"/>
    </row>
    <row r="39" spans="1:3" s="8" customFormat="1" x14ac:dyDescent="0.25">
      <c r="A39" s="16"/>
      <c r="B39" s="18"/>
      <c r="C39" s="18"/>
    </row>
    <row r="40" spans="1:3" s="8" customFormat="1" x14ac:dyDescent="0.25">
      <c r="A40" s="16"/>
      <c r="B40" s="18"/>
      <c r="C40" s="18"/>
    </row>
    <row r="41" spans="1:3" s="8" customFormat="1" x14ac:dyDescent="0.25">
      <c r="A41" s="16"/>
      <c r="B41" s="18"/>
      <c r="C41" s="18"/>
    </row>
    <row r="42" spans="1:3" s="8" customFormat="1" x14ac:dyDescent="0.25">
      <c r="A42" s="16"/>
      <c r="B42" s="18"/>
      <c r="C42" s="18"/>
    </row>
    <row r="43" spans="1:3" s="8" customFormat="1" x14ac:dyDescent="0.25">
      <c r="A43" s="16"/>
      <c r="B43" s="18"/>
      <c r="C43" s="18"/>
    </row>
    <row r="44" spans="1:3" s="8" customFormat="1" x14ac:dyDescent="0.25">
      <c r="A44" s="16"/>
      <c r="B44" s="18"/>
      <c r="C44" s="18"/>
    </row>
    <row r="45" spans="1:3" s="8" customFormat="1" x14ac:dyDescent="0.25">
      <c r="A45" s="16"/>
      <c r="B45" s="18"/>
      <c r="C45" s="18"/>
    </row>
    <row r="46" spans="1:3" s="8" customFormat="1" x14ac:dyDescent="0.25">
      <c r="A46" s="16"/>
      <c r="B46" s="18"/>
      <c r="C46" s="18"/>
    </row>
    <row r="47" spans="1:3" s="8" customFormat="1" x14ac:dyDescent="0.25">
      <c r="A47" s="16"/>
      <c r="B47" s="18"/>
      <c r="C47" s="18"/>
    </row>
    <row r="48" spans="1:3" s="8" customFormat="1" x14ac:dyDescent="0.25">
      <c r="A48" s="16"/>
      <c r="B48" s="18"/>
      <c r="C48" s="18"/>
    </row>
    <row r="49" spans="1:3" s="8" customFormat="1" x14ac:dyDescent="0.25">
      <c r="A49" s="16"/>
      <c r="B49" s="18"/>
      <c r="C49" s="18"/>
    </row>
    <row r="50" spans="1:3" s="8" customFormat="1" x14ac:dyDescent="0.25">
      <c r="A50" s="16"/>
      <c r="B50" s="18"/>
      <c r="C50" s="18"/>
    </row>
    <row r="51" spans="1:3" s="8" customFormat="1" x14ac:dyDescent="0.25">
      <c r="A51" s="16"/>
      <c r="B51" s="18"/>
      <c r="C51" s="18"/>
    </row>
    <row r="52" spans="1:3" s="8" customFormat="1" x14ac:dyDescent="0.25">
      <c r="A52" s="16"/>
      <c r="B52" s="18"/>
      <c r="C52" s="18"/>
    </row>
    <row r="53" spans="1:3" s="8" customFormat="1" x14ac:dyDescent="0.25">
      <c r="A53" s="16"/>
      <c r="B53" s="18"/>
      <c r="C53" s="18"/>
    </row>
    <row r="54" spans="1:3" s="8" customFormat="1" x14ac:dyDescent="0.25">
      <c r="A54" s="16"/>
      <c r="B54" s="18"/>
      <c r="C54" s="18"/>
    </row>
    <row r="55" spans="1:3" s="8" customFormat="1" x14ac:dyDescent="0.25">
      <c r="A55" s="16"/>
      <c r="B55" s="18"/>
      <c r="C55" s="18"/>
    </row>
    <row r="56" spans="1:3" s="8" customFormat="1" x14ac:dyDescent="0.25">
      <c r="A56" s="16"/>
      <c r="B56" s="18"/>
      <c r="C56" s="18"/>
    </row>
    <row r="57" spans="1:3" s="8" customFormat="1" x14ac:dyDescent="0.25">
      <c r="A57" s="16"/>
      <c r="B57" s="18"/>
      <c r="C57" s="18"/>
    </row>
    <row r="58" spans="1:3" s="8" customFormat="1" x14ac:dyDescent="0.25">
      <c r="A58" s="16"/>
      <c r="B58" s="18"/>
      <c r="C58" s="18"/>
    </row>
    <row r="59" spans="1:3" s="8" customFormat="1" x14ac:dyDescent="0.25">
      <c r="A59" s="16"/>
      <c r="B59" s="18"/>
      <c r="C59" s="18"/>
    </row>
    <row r="60" spans="1:3" s="8" customFormat="1" x14ac:dyDescent="0.25">
      <c r="A60" s="16"/>
      <c r="B60" s="18"/>
      <c r="C60" s="18"/>
    </row>
    <row r="61" spans="1:3" s="8" customFormat="1" x14ac:dyDescent="0.25">
      <c r="A61" s="16"/>
      <c r="B61" s="18"/>
      <c r="C61" s="18"/>
    </row>
    <row r="62" spans="1:3" s="8" customFormat="1" x14ac:dyDescent="0.25">
      <c r="A62" s="16"/>
      <c r="B62" s="18"/>
      <c r="C62" s="18"/>
    </row>
    <row r="63" spans="1:3" s="8" customFormat="1" x14ac:dyDescent="0.25">
      <c r="A63" s="16"/>
      <c r="B63" s="18"/>
      <c r="C63" s="18"/>
    </row>
    <row r="64" spans="1:3" s="8" customFormat="1" x14ac:dyDescent="0.25">
      <c r="A64" s="16"/>
      <c r="B64" s="18"/>
      <c r="C64" s="18"/>
    </row>
    <row r="65" spans="1:3" s="8" customFormat="1" x14ac:dyDescent="0.25">
      <c r="A65" s="16"/>
      <c r="B65" s="18"/>
      <c r="C65" s="18"/>
    </row>
    <row r="66" spans="1:3" s="8" customFormat="1" x14ac:dyDescent="0.25">
      <c r="A66" s="16"/>
      <c r="B66" s="18"/>
      <c r="C66" s="18"/>
    </row>
    <row r="67" spans="1:3" s="8" customFormat="1" x14ac:dyDescent="0.25">
      <c r="A67" s="16"/>
      <c r="B67" s="18"/>
      <c r="C67" s="18"/>
    </row>
    <row r="68" spans="1:3" s="8" customFormat="1" x14ac:dyDescent="0.25">
      <c r="A68" s="16"/>
      <c r="B68" s="18"/>
      <c r="C68" s="18"/>
    </row>
    <row r="69" spans="1:3" s="8" customFormat="1" x14ac:dyDescent="0.25">
      <c r="A69" s="16"/>
      <c r="B69" s="18"/>
      <c r="C69" s="18"/>
    </row>
    <row r="70" spans="1:3" s="8" customFormat="1" x14ac:dyDescent="0.25">
      <c r="A70" s="16"/>
      <c r="B70" s="18"/>
      <c r="C70" s="18"/>
    </row>
    <row r="71" spans="1:3" s="8" customFormat="1" x14ac:dyDescent="0.25">
      <c r="A71" s="16"/>
      <c r="B71" s="18"/>
      <c r="C71" s="18"/>
    </row>
    <row r="72" spans="1:3" s="8" customFormat="1" x14ac:dyDescent="0.25">
      <c r="A72" s="16"/>
      <c r="B72" s="18"/>
      <c r="C72" s="18"/>
    </row>
    <row r="73" spans="1:3" s="8" customFormat="1" x14ac:dyDescent="0.25">
      <c r="A73" s="16"/>
      <c r="B73" s="18"/>
      <c r="C73" s="18"/>
    </row>
    <row r="74" spans="1:3" s="8" customFormat="1" x14ac:dyDescent="0.25">
      <c r="A74" s="16"/>
      <c r="B74" s="18"/>
      <c r="C74" s="18"/>
    </row>
    <row r="75" spans="1:3" s="8" customFormat="1" x14ac:dyDescent="0.25">
      <c r="A75" s="16"/>
      <c r="B75" s="18"/>
      <c r="C75" s="18"/>
    </row>
    <row r="76" spans="1:3" s="8" customFormat="1" x14ac:dyDescent="0.25">
      <c r="A76" s="16"/>
      <c r="B76" s="18"/>
      <c r="C76" s="18"/>
    </row>
    <row r="77" spans="1:3" s="8" customFormat="1" x14ac:dyDescent="0.25">
      <c r="A77" s="16"/>
      <c r="B77" s="18"/>
      <c r="C77" s="18"/>
    </row>
    <row r="78" spans="1:3" s="8" customFormat="1" x14ac:dyDescent="0.25">
      <c r="A78" s="16"/>
      <c r="B78" s="18"/>
      <c r="C78" s="18"/>
    </row>
    <row r="79" spans="1:3" s="8" customFormat="1" x14ac:dyDescent="0.25">
      <c r="A79" s="16"/>
      <c r="B79" s="18"/>
      <c r="C79" s="18"/>
    </row>
    <row r="80" spans="1:3" s="8" customFormat="1" x14ac:dyDescent="0.25">
      <c r="A80" s="16"/>
      <c r="B80" s="18"/>
      <c r="C80" s="18"/>
    </row>
    <row r="81" spans="1:3" s="8" customFormat="1" x14ac:dyDescent="0.25">
      <c r="A81" s="16"/>
      <c r="B81" s="18"/>
      <c r="C81" s="18"/>
    </row>
    <row r="82" spans="1:3" s="8" customFormat="1" x14ac:dyDescent="0.25">
      <c r="A82" s="16"/>
      <c r="B82" s="18"/>
      <c r="C82" s="18"/>
    </row>
    <row r="83" spans="1:3" s="8" customFormat="1" x14ac:dyDescent="0.25">
      <c r="A83" s="16"/>
      <c r="B83" s="18"/>
      <c r="C83" s="18"/>
    </row>
    <row r="84" spans="1:3" s="8" customFormat="1" x14ac:dyDescent="0.25">
      <c r="A84" s="16"/>
      <c r="B84" s="18"/>
      <c r="C84" s="18"/>
    </row>
    <row r="85" spans="1:3" s="8" customFormat="1" x14ac:dyDescent="0.25">
      <c r="A85" s="16"/>
      <c r="B85" s="18"/>
      <c r="C85" s="18"/>
    </row>
    <row r="86" spans="1:3" s="8" customFormat="1" x14ac:dyDescent="0.25">
      <c r="A86" s="16"/>
      <c r="B86" s="18"/>
      <c r="C86" s="18"/>
    </row>
    <row r="87" spans="1:3" s="8" customFormat="1" x14ac:dyDescent="0.25">
      <c r="A87" s="16"/>
      <c r="B87" s="18"/>
      <c r="C87" s="18"/>
    </row>
    <row r="88" spans="1:3" s="8" customFormat="1" x14ac:dyDescent="0.25">
      <c r="A88" s="16"/>
      <c r="B88" s="18"/>
      <c r="C88" s="18"/>
    </row>
    <row r="89" spans="1:3" s="8" customFormat="1" x14ac:dyDescent="0.25">
      <c r="A89" s="16"/>
      <c r="B89" s="18"/>
      <c r="C89" s="18"/>
    </row>
    <row r="90" spans="1:3" s="8" customFormat="1" x14ac:dyDescent="0.25">
      <c r="A90" s="16"/>
      <c r="B90" s="18"/>
      <c r="C90" s="18"/>
    </row>
    <row r="91" spans="1:3" s="8" customFormat="1" x14ac:dyDescent="0.25">
      <c r="A91" s="16"/>
      <c r="B91" s="18"/>
      <c r="C91" s="18"/>
    </row>
    <row r="92" spans="1:3" s="8" customFormat="1" x14ac:dyDescent="0.25">
      <c r="A92" s="16"/>
      <c r="B92" s="18"/>
      <c r="C92" s="18"/>
    </row>
    <row r="93" spans="1:3" s="8" customFormat="1" x14ac:dyDescent="0.25">
      <c r="A93" s="16"/>
      <c r="B93" s="18"/>
      <c r="C93" s="18"/>
    </row>
    <row r="94" spans="1:3" s="8" customFormat="1" x14ac:dyDescent="0.25">
      <c r="A94" s="16"/>
      <c r="B94" s="18"/>
      <c r="C94" s="18"/>
    </row>
    <row r="95" spans="1:3" s="8" customFormat="1" x14ac:dyDescent="0.25">
      <c r="A95" s="16"/>
      <c r="B95" s="18"/>
      <c r="C95" s="18"/>
    </row>
    <row r="96" spans="1:3" s="8" customFormat="1" x14ac:dyDescent="0.25">
      <c r="A96" s="16"/>
      <c r="B96" s="18"/>
      <c r="C96" s="18"/>
    </row>
    <row r="97" spans="1:3" s="8" customFormat="1" x14ac:dyDescent="0.25">
      <c r="A97" s="16"/>
      <c r="B97" s="18"/>
      <c r="C97" s="18"/>
    </row>
    <row r="98" spans="1:3" s="8" customFormat="1" x14ac:dyDescent="0.25">
      <c r="A98" s="16"/>
      <c r="B98" s="18"/>
      <c r="C98" s="18"/>
    </row>
    <row r="99" spans="1:3" s="8" customFormat="1" x14ac:dyDescent="0.25">
      <c r="A99" s="16"/>
      <c r="B99" s="18"/>
      <c r="C99" s="18"/>
    </row>
    <row r="100" spans="1:3" s="8" customFormat="1" x14ac:dyDescent="0.25">
      <c r="A100" s="16"/>
      <c r="B100" s="18"/>
      <c r="C100" s="18"/>
    </row>
    <row r="101" spans="1:3" s="8" customFormat="1" x14ac:dyDescent="0.25">
      <c r="A101" s="16"/>
      <c r="B101" s="18"/>
      <c r="C101" s="18"/>
    </row>
    <row r="102" spans="1:3" s="8" customFormat="1" x14ac:dyDescent="0.25">
      <c r="A102" s="16"/>
      <c r="B102" s="18"/>
      <c r="C102" s="18"/>
    </row>
    <row r="103" spans="1:3" s="8" customFormat="1" x14ac:dyDescent="0.25">
      <c r="A103" s="16"/>
      <c r="B103" s="18"/>
      <c r="C103" s="18"/>
    </row>
    <row r="104" spans="1:3" s="8" customFormat="1" x14ac:dyDescent="0.25">
      <c r="A104" s="16"/>
      <c r="B104" s="18"/>
      <c r="C104" s="18"/>
    </row>
    <row r="105" spans="1:3" s="8" customFormat="1" x14ac:dyDescent="0.25">
      <c r="A105" s="16"/>
      <c r="B105" s="18"/>
      <c r="C105" s="18"/>
    </row>
    <row r="106" spans="1:3" s="8" customFormat="1" x14ac:dyDescent="0.25">
      <c r="A106" s="16"/>
      <c r="B106" s="18"/>
      <c r="C106" s="18"/>
    </row>
    <row r="107" spans="1:3" s="8" customFormat="1" x14ac:dyDescent="0.25">
      <c r="A107" s="16"/>
      <c r="B107" s="18"/>
      <c r="C107" s="18"/>
    </row>
    <row r="108" spans="1:3" s="8" customFormat="1" x14ac:dyDescent="0.25">
      <c r="A108" s="16"/>
      <c r="B108" s="18"/>
      <c r="C108" s="18"/>
    </row>
    <row r="109" spans="1:3" s="8" customFormat="1" x14ac:dyDescent="0.25">
      <c r="A109" s="16"/>
      <c r="B109" s="18"/>
      <c r="C109" s="18"/>
    </row>
    <row r="110" spans="1:3" s="8" customFormat="1" x14ac:dyDescent="0.25">
      <c r="A110" s="16"/>
      <c r="B110" s="18"/>
      <c r="C110" s="18"/>
    </row>
    <row r="111" spans="1:3" s="8" customFormat="1" x14ac:dyDescent="0.25">
      <c r="A111" s="16"/>
      <c r="B111" s="18"/>
      <c r="C111" s="18"/>
    </row>
    <row r="112" spans="1:3" s="8" customFormat="1" x14ac:dyDescent="0.25">
      <c r="A112" s="16"/>
      <c r="B112" s="18"/>
      <c r="C112" s="18"/>
    </row>
    <row r="113" spans="1:3" s="8" customFormat="1" x14ac:dyDescent="0.25">
      <c r="A113" s="16"/>
      <c r="B113" s="18"/>
      <c r="C113" s="18"/>
    </row>
    <row r="114" spans="1:3" s="8" customFormat="1" x14ac:dyDescent="0.25">
      <c r="A114" s="16"/>
      <c r="B114" s="18"/>
      <c r="C114" s="18"/>
    </row>
    <row r="115" spans="1:3" s="8" customFormat="1" x14ac:dyDescent="0.25">
      <c r="A115" s="16"/>
      <c r="B115" s="18"/>
      <c r="C115" s="18"/>
    </row>
    <row r="116" spans="1:3" s="8" customFormat="1" x14ac:dyDescent="0.25">
      <c r="A116" s="16"/>
      <c r="B116" s="18"/>
      <c r="C116" s="18"/>
    </row>
    <row r="117" spans="1:3" s="8" customFormat="1" x14ac:dyDescent="0.25">
      <c r="A117" s="16"/>
      <c r="B117" s="18"/>
      <c r="C117" s="18"/>
    </row>
    <row r="118" spans="1:3" s="8" customFormat="1" x14ac:dyDescent="0.25">
      <c r="A118" s="16"/>
      <c r="B118" s="18"/>
      <c r="C118" s="18"/>
    </row>
    <row r="119" spans="1:3" s="8" customFormat="1" x14ac:dyDescent="0.25">
      <c r="A119" s="16"/>
      <c r="B119" s="18"/>
      <c r="C119" s="18"/>
    </row>
    <row r="120" spans="1:3" s="8" customFormat="1" x14ac:dyDescent="0.25">
      <c r="A120" s="16"/>
      <c r="B120" s="18"/>
      <c r="C120" s="18"/>
    </row>
    <row r="121" spans="1:3" s="8" customFormat="1" x14ac:dyDescent="0.25">
      <c r="A121" s="16"/>
      <c r="B121" s="18"/>
      <c r="C121" s="18"/>
    </row>
    <row r="122" spans="1:3" s="8" customFormat="1" x14ac:dyDescent="0.25">
      <c r="A122" s="16"/>
      <c r="B122" s="18"/>
      <c r="C122" s="18"/>
    </row>
    <row r="123" spans="1:3" s="8" customFormat="1" x14ac:dyDescent="0.25">
      <c r="A123" s="16"/>
      <c r="B123" s="18"/>
      <c r="C123" s="18"/>
    </row>
    <row r="124" spans="1:3" s="8" customFormat="1" x14ac:dyDescent="0.25">
      <c r="A124" s="16"/>
      <c r="B124" s="18"/>
      <c r="C124" s="18"/>
    </row>
    <row r="125" spans="1:3" s="8" customFormat="1" x14ac:dyDescent="0.25">
      <c r="A125" s="16"/>
      <c r="B125" s="18"/>
      <c r="C125" s="18"/>
    </row>
    <row r="126" spans="1:3" s="8" customFormat="1" x14ac:dyDescent="0.25">
      <c r="A126" s="16"/>
      <c r="B126" s="18"/>
      <c r="C126" s="18"/>
    </row>
    <row r="127" spans="1:3" s="8" customFormat="1" x14ac:dyDescent="0.25">
      <c r="A127" s="16"/>
      <c r="B127" s="18"/>
      <c r="C127" s="18"/>
    </row>
    <row r="128" spans="1:3" s="8" customFormat="1" x14ac:dyDescent="0.25">
      <c r="A128" s="16"/>
      <c r="B128" s="18"/>
      <c r="C128" s="18"/>
    </row>
    <row r="129" spans="1:3" s="8" customFormat="1" x14ac:dyDescent="0.25">
      <c r="A129" s="16"/>
      <c r="B129" s="18"/>
      <c r="C129" s="18"/>
    </row>
    <row r="130" spans="1:3" s="8" customFormat="1" x14ac:dyDescent="0.25">
      <c r="A130" s="16"/>
      <c r="B130" s="18"/>
      <c r="C130" s="18"/>
    </row>
    <row r="131" spans="1:3" s="8" customFormat="1" x14ac:dyDescent="0.25">
      <c r="A131" s="16"/>
      <c r="B131" s="18"/>
      <c r="C131" s="18"/>
    </row>
    <row r="132" spans="1:3" s="8" customFormat="1" x14ac:dyDescent="0.25">
      <c r="A132" s="16"/>
      <c r="B132" s="18"/>
      <c r="C132" s="18"/>
    </row>
    <row r="133" spans="1:3" s="8" customFormat="1" x14ac:dyDescent="0.25">
      <c r="A133" s="16"/>
      <c r="B133" s="18"/>
      <c r="C133" s="18"/>
    </row>
    <row r="134" spans="1:3" s="8" customFormat="1" x14ac:dyDescent="0.25">
      <c r="A134" s="16"/>
      <c r="B134" s="18"/>
      <c r="C134" s="18"/>
    </row>
    <row r="135" spans="1:3" s="8" customFormat="1" x14ac:dyDescent="0.25">
      <c r="A135" s="16"/>
      <c r="B135" s="18"/>
      <c r="C135" s="18"/>
    </row>
    <row r="136" spans="1:3" s="8" customFormat="1" x14ac:dyDescent="0.25">
      <c r="A136" s="16"/>
      <c r="B136" s="18"/>
      <c r="C136" s="18"/>
    </row>
    <row r="137" spans="1:3" s="8" customFormat="1" x14ac:dyDescent="0.25">
      <c r="A137" s="16"/>
      <c r="B137" s="18"/>
      <c r="C137" s="18"/>
    </row>
    <row r="138" spans="1:3" s="8" customFormat="1" x14ac:dyDescent="0.25">
      <c r="A138" s="16"/>
      <c r="B138" s="18"/>
      <c r="C138" s="18"/>
    </row>
    <row r="139" spans="1:3" s="8" customFormat="1" x14ac:dyDescent="0.25">
      <c r="A139" s="16"/>
      <c r="B139" s="18"/>
      <c r="C139" s="18"/>
    </row>
    <row r="140" spans="1:3" s="8" customFormat="1" x14ac:dyDescent="0.25">
      <c r="A140" s="16"/>
      <c r="B140" s="18"/>
      <c r="C140" s="18"/>
    </row>
    <row r="141" spans="1:3" s="8" customFormat="1" x14ac:dyDescent="0.25">
      <c r="A141" s="16"/>
      <c r="B141" s="18"/>
      <c r="C141" s="18"/>
    </row>
    <row r="142" spans="1:3" s="8" customFormat="1" x14ac:dyDescent="0.25">
      <c r="A142" s="16"/>
      <c r="B142" s="18"/>
      <c r="C142" s="18"/>
    </row>
    <row r="143" spans="1:3" s="8" customFormat="1" x14ac:dyDescent="0.25">
      <c r="A143" s="16"/>
      <c r="B143" s="18"/>
      <c r="C143" s="18"/>
    </row>
    <row r="144" spans="1:3" s="8" customFormat="1" x14ac:dyDescent="0.25">
      <c r="A144" s="16"/>
      <c r="B144" s="18"/>
      <c r="C144" s="18"/>
    </row>
    <row r="145" spans="1:3" s="8" customFormat="1" x14ac:dyDescent="0.25">
      <c r="A145" s="16"/>
      <c r="B145" s="18"/>
      <c r="C145" s="18"/>
    </row>
    <row r="146" spans="1:3" s="8" customFormat="1" x14ac:dyDescent="0.25">
      <c r="A146" s="16"/>
      <c r="B146" s="18"/>
      <c r="C146" s="18"/>
    </row>
    <row r="147" spans="1:3" s="8" customFormat="1" x14ac:dyDescent="0.25">
      <c r="A147" s="16"/>
      <c r="B147" s="18"/>
      <c r="C147" s="18"/>
    </row>
    <row r="148" spans="1:3" s="8" customFormat="1" x14ac:dyDescent="0.25">
      <c r="A148" s="16"/>
      <c r="B148" s="18"/>
      <c r="C148" s="18"/>
    </row>
    <row r="149" spans="1:3" s="8" customFormat="1" x14ac:dyDescent="0.25">
      <c r="A149" s="16"/>
      <c r="B149" s="18"/>
      <c r="C149" s="18"/>
    </row>
    <row r="150" spans="1:3" s="8" customFormat="1" x14ac:dyDescent="0.25">
      <c r="A150" s="16"/>
      <c r="B150" s="18"/>
      <c r="C150" s="18"/>
    </row>
    <row r="151" spans="1:3" s="8" customFormat="1" x14ac:dyDescent="0.25">
      <c r="A151" s="16"/>
      <c r="B151" s="18"/>
      <c r="C151" s="18"/>
    </row>
    <row r="152" spans="1:3" s="8" customFormat="1" x14ac:dyDescent="0.25">
      <c r="A152" s="16"/>
      <c r="B152" s="18"/>
      <c r="C152" s="18"/>
    </row>
    <row r="153" spans="1:3" s="8" customFormat="1" x14ac:dyDescent="0.25">
      <c r="A153" s="16"/>
      <c r="B153" s="18"/>
      <c r="C153" s="18"/>
    </row>
    <row r="154" spans="1:3" s="8" customFormat="1" x14ac:dyDescent="0.25">
      <c r="A154" s="16"/>
      <c r="B154" s="18"/>
      <c r="C154" s="18"/>
    </row>
    <row r="155" spans="1:3" s="8" customFormat="1" x14ac:dyDescent="0.25">
      <c r="A155" s="16"/>
      <c r="B155" s="18"/>
      <c r="C155" s="18"/>
    </row>
    <row r="156" spans="1:3" s="8" customFormat="1" x14ac:dyDescent="0.25">
      <c r="A156" s="16"/>
      <c r="B156" s="18"/>
      <c r="C156" s="18"/>
    </row>
    <row r="157" spans="1:3" s="8" customFormat="1" x14ac:dyDescent="0.25">
      <c r="A157" s="16"/>
      <c r="B157" s="18"/>
      <c r="C157" s="18"/>
    </row>
    <row r="158" spans="1:3" s="8" customFormat="1" x14ac:dyDescent="0.25">
      <c r="A158" s="16"/>
      <c r="B158" s="18"/>
      <c r="C158" s="18"/>
    </row>
    <row r="159" spans="1:3" s="8" customFormat="1" x14ac:dyDescent="0.25">
      <c r="A159" s="16"/>
      <c r="B159" s="18"/>
      <c r="C159" s="18"/>
    </row>
    <row r="160" spans="1:3" s="8" customFormat="1" x14ac:dyDescent="0.25">
      <c r="A160" s="16"/>
      <c r="B160" s="18"/>
      <c r="C160" s="18"/>
    </row>
    <row r="161" spans="1:3" s="8" customFormat="1" x14ac:dyDescent="0.25">
      <c r="A161" s="16"/>
      <c r="B161" s="18"/>
      <c r="C161" s="18"/>
    </row>
    <row r="162" spans="1:3" s="8" customFormat="1" x14ac:dyDescent="0.25">
      <c r="A162" s="16"/>
      <c r="B162" s="18"/>
      <c r="C162" s="18"/>
    </row>
    <row r="163" spans="1:3" s="8" customFormat="1" x14ac:dyDescent="0.25">
      <c r="A163" s="16"/>
      <c r="B163" s="18"/>
      <c r="C163" s="18"/>
    </row>
    <row r="164" spans="1:3" s="8" customFormat="1" x14ac:dyDescent="0.25">
      <c r="A164" s="16"/>
      <c r="B164" s="18"/>
      <c r="C164" s="18"/>
    </row>
    <row r="165" spans="1:3" s="8" customFormat="1" x14ac:dyDescent="0.25">
      <c r="A165" s="16"/>
      <c r="B165" s="18"/>
      <c r="C165" s="18"/>
    </row>
    <row r="166" spans="1:3" s="8" customFormat="1" x14ac:dyDescent="0.25">
      <c r="A166" s="16"/>
      <c r="B166" s="18"/>
      <c r="C166" s="18"/>
    </row>
    <row r="167" spans="1:3" s="8" customFormat="1" x14ac:dyDescent="0.25">
      <c r="A167" s="16"/>
      <c r="B167" s="18"/>
      <c r="C167" s="18"/>
    </row>
    <row r="168" spans="1:3" s="8" customFormat="1" x14ac:dyDescent="0.25">
      <c r="A168" s="16"/>
      <c r="B168" s="18"/>
      <c r="C168" s="18"/>
    </row>
    <row r="169" spans="1:3" s="8" customFormat="1" x14ac:dyDescent="0.25">
      <c r="A169" s="16"/>
      <c r="B169" s="18"/>
      <c r="C169" s="18"/>
    </row>
    <row r="170" spans="1:3" s="8" customFormat="1" x14ac:dyDescent="0.25">
      <c r="A170" s="16"/>
      <c r="B170" s="18"/>
      <c r="C170" s="18"/>
    </row>
    <row r="171" spans="1:3" s="8" customFormat="1" x14ac:dyDescent="0.25">
      <c r="A171" s="16"/>
      <c r="B171" s="18"/>
      <c r="C171" s="18"/>
    </row>
    <row r="172" spans="1:3" s="8" customFormat="1" x14ac:dyDescent="0.25">
      <c r="A172" s="16"/>
      <c r="B172" s="18"/>
      <c r="C172" s="18"/>
    </row>
    <row r="173" spans="1:3" s="8" customFormat="1" x14ac:dyDescent="0.25">
      <c r="A173" s="16"/>
      <c r="B173" s="18"/>
      <c r="C173" s="18"/>
    </row>
    <row r="174" spans="1:3" s="8" customFormat="1" x14ac:dyDescent="0.25">
      <c r="A174" s="16"/>
      <c r="B174" s="18"/>
      <c r="C174" s="18"/>
    </row>
    <row r="175" spans="1:3" s="8" customFormat="1" x14ac:dyDescent="0.25">
      <c r="A175" s="16"/>
      <c r="B175" s="18"/>
      <c r="C175" s="18"/>
    </row>
    <row r="176" spans="1:3" s="8" customFormat="1" x14ac:dyDescent="0.25">
      <c r="A176" s="16"/>
      <c r="B176" s="18"/>
      <c r="C176" s="18"/>
    </row>
    <row r="177" spans="1:3" s="8" customFormat="1" x14ac:dyDescent="0.25">
      <c r="A177" s="16"/>
      <c r="B177" s="18"/>
      <c r="C177" s="18"/>
    </row>
    <row r="178" spans="1:3" s="8" customFormat="1" x14ac:dyDescent="0.25">
      <c r="A178" s="16"/>
      <c r="B178" s="18"/>
      <c r="C178" s="18"/>
    </row>
    <row r="179" spans="1:3" s="8" customFormat="1" x14ac:dyDescent="0.25">
      <c r="A179" s="16"/>
      <c r="B179" s="18"/>
      <c r="C179" s="18"/>
    </row>
    <row r="180" spans="1:3" s="8" customFormat="1" x14ac:dyDescent="0.25">
      <c r="A180" s="16"/>
      <c r="B180" s="18"/>
      <c r="C180" s="18"/>
    </row>
    <row r="181" spans="1:3" s="8" customFormat="1" x14ac:dyDescent="0.25">
      <c r="A181" s="16"/>
      <c r="B181" s="18"/>
      <c r="C181" s="18"/>
    </row>
    <row r="182" spans="1:3" s="8" customFormat="1" x14ac:dyDescent="0.25">
      <c r="A182" s="16"/>
      <c r="B182" s="18"/>
      <c r="C182" s="18"/>
    </row>
    <row r="183" spans="1:3" s="8" customFormat="1" x14ac:dyDescent="0.25">
      <c r="A183" s="16"/>
      <c r="B183" s="18"/>
      <c r="C183" s="18"/>
    </row>
    <row r="184" spans="1:3" s="8" customFormat="1" x14ac:dyDescent="0.25">
      <c r="A184" s="16"/>
      <c r="B184" s="18"/>
      <c r="C184" s="18"/>
    </row>
    <row r="185" spans="1:3" s="8" customFormat="1" x14ac:dyDescent="0.25">
      <c r="A185" s="16"/>
      <c r="B185" s="18"/>
      <c r="C185" s="18"/>
    </row>
    <row r="186" spans="1:3" s="8" customFormat="1" x14ac:dyDescent="0.25">
      <c r="A186" s="16"/>
      <c r="B186" s="18"/>
      <c r="C186" s="18"/>
    </row>
    <row r="187" spans="1:3" s="8" customFormat="1" x14ac:dyDescent="0.25">
      <c r="A187" s="16"/>
      <c r="B187" s="18"/>
      <c r="C187" s="18"/>
    </row>
    <row r="188" spans="1:3" s="8" customFormat="1" x14ac:dyDescent="0.25">
      <c r="A188" s="16"/>
      <c r="B188" s="18"/>
      <c r="C188" s="18"/>
    </row>
    <row r="189" spans="1:3" s="8" customFormat="1" x14ac:dyDescent="0.25">
      <c r="A189" s="16"/>
      <c r="B189" s="18"/>
      <c r="C189" s="18"/>
    </row>
    <row r="190" spans="1:3" s="8" customFormat="1" x14ac:dyDescent="0.25">
      <c r="A190" s="16"/>
      <c r="B190" s="18"/>
      <c r="C190" s="18"/>
    </row>
    <row r="191" spans="1:3" s="8" customFormat="1" x14ac:dyDescent="0.25">
      <c r="A191" s="16"/>
      <c r="B191" s="18"/>
      <c r="C191" s="18"/>
    </row>
    <row r="192" spans="1:3" s="8" customFormat="1" x14ac:dyDescent="0.25">
      <c r="A192" s="16"/>
      <c r="B192" s="18"/>
      <c r="C192" s="18"/>
    </row>
    <row r="193" spans="1:3" s="8" customFormat="1" x14ac:dyDescent="0.25">
      <c r="A193" s="16"/>
      <c r="B193" s="18"/>
      <c r="C193" s="18"/>
    </row>
    <row r="194" spans="1:3" s="8" customFormat="1" x14ac:dyDescent="0.25">
      <c r="A194" s="16"/>
      <c r="B194" s="18"/>
      <c r="C194" s="18"/>
    </row>
    <row r="195" spans="1:3" s="8" customFormat="1" x14ac:dyDescent="0.25">
      <c r="A195" s="16"/>
      <c r="B195" s="18"/>
      <c r="C195" s="18"/>
    </row>
    <row r="196" spans="1:3" s="8" customFormat="1" x14ac:dyDescent="0.25">
      <c r="A196" s="16"/>
      <c r="B196" s="18"/>
      <c r="C196" s="18"/>
    </row>
    <row r="197" spans="1:3" s="8" customFormat="1" x14ac:dyDescent="0.25">
      <c r="A197" s="16"/>
      <c r="B197" s="18"/>
      <c r="C197" s="18"/>
    </row>
    <row r="198" spans="1:3" s="8" customFormat="1" x14ac:dyDescent="0.25">
      <c r="A198" s="16"/>
      <c r="B198" s="18"/>
      <c r="C198" s="18"/>
    </row>
    <row r="199" spans="1:3" s="8" customFormat="1" x14ac:dyDescent="0.25">
      <c r="A199" s="16"/>
      <c r="B199" s="18"/>
      <c r="C199" s="18"/>
    </row>
    <row r="200" spans="1:3" s="8" customFormat="1" x14ac:dyDescent="0.25">
      <c r="A200" s="16"/>
      <c r="B200" s="18"/>
      <c r="C200" s="18"/>
    </row>
    <row r="201" spans="1:3" s="8" customFormat="1" x14ac:dyDescent="0.25">
      <c r="A201" s="19">
        <v>44553.109675925924</v>
      </c>
      <c r="B201" s="20"/>
      <c r="C201" s="20"/>
    </row>
    <row r="202" spans="1:3" s="8" customFormat="1" x14ac:dyDescent="0.25">
      <c r="A202" s="21"/>
      <c r="B202" s="20"/>
      <c r="C202" s="20"/>
    </row>
    <row r="203" spans="1:3" s="8" customFormat="1" x14ac:dyDescent="0.25">
      <c r="A203" s="21"/>
      <c r="B203" s="20"/>
      <c r="C203" s="20"/>
    </row>
    <row r="204" spans="1:3" s="8" customFormat="1" x14ac:dyDescent="0.25">
      <c r="A204" s="21"/>
      <c r="B204" s="20"/>
      <c r="C204" s="20"/>
    </row>
    <row r="205" spans="1:3" s="8" customFormat="1" x14ac:dyDescent="0.25">
      <c r="A205" s="21"/>
      <c r="B205" s="20"/>
      <c r="C205" s="20"/>
    </row>
    <row r="206" spans="1:3" s="8" customFormat="1" x14ac:dyDescent="0.25">
      <c r="A206" s="21"/>
      <c r="B206" s="20"/>
      <c r="C206" s="20"/>
    </row>
    <row r="207" spans="1:3" s="8" customFormat="1" x14ac:dyDescent="0.25">
      <c r="A207" s="21"/>
      <c r="B207" s="20"/>
      <c r="C207" s="20"/>
    </row>
    <row r="208" spans="1:3" s="8" customFormat="1" x14ac:dyDescent="0.25">
      <c r="A208" s="21"/>
      <c r="B208" s="20"/>
      <c r="C208" s="20"/>
    </row>
    <row r="209" spans="1:3" s="8" customFormat="1" x14ac:dyDescent="0.25">
      <c r="A209" s="21"/>
      <c r="B209" s="20"/>
      <c r="C209" s="20"/>
    </row>
    <row r="210" spans="1:3" s="8" customFormat="1" x14ac:dyDescent="0.25">
      <c r="A210" s="21"/>
      <c r="B210" s="20"/>
      <c r="C210" s="20"/>
    </row>
    <row r="211" spans="1:3" s="8" customFormat="1" x14ac:dyDescent="0.25">
      <c r="A211" s="21"/>
      <c r="B211" s="20"/>
      <c r="C211" s="20"/>
    </row>
    <row r="212" spans="1:3" s="8" customFormat="1" x14ac:dyDescent="0.25">
      <c r="A212" s="21"/>
      <c r="B212" s="20"/>
      <c r="C212" s="20"/>
    </row>
    <row r="213" spans="1:3" s="8" customFormat="1" x14ac:dyDescent="0.25">
      <c r="A213" s="21"/>
      <c r="B213" s="20"/>
      <c r="C213" s="20"/>
    </row>
    <row r="214" spans="1:3" s="8" customFormat="1" x14ac:dyDescent="0.25">
      <c r="A214" s="21"/>
      <c r="B214" s="20"/>
      <c r="C214" s="20"/>
    </row>
    <row r="215" spans="1:3" s="8" customFormat="1" x14ac:dyDescent="0.25">
      <c r="A215" s="21"/>
      <c r="B215" s="20"/>
      <c r="C215" s="20"/>
    </row>
    <row r="216" spans="1:3" s="8" customFormat="1" x14ac:dyDescent="0.25">
      <c r="A216" s="21"/>
      <c r="B216" s="20"/>
      <c r="C216" s="20"/>
    </row>
    <row r="217" spans="1:3" s="8" customFormat="1" x14ac:dyDescent="0.25">
      <c r="A217" s="21"/>
      <c r="B217" s="20"/>
      <c r="C217" s="20"/>
    </row>
    <row r="218" spans="1:3" s="8" customFormat="1" x14ac:dyDescent="0.25">
      <c r="A218" s="21"/>
      <c r="B218" s="20"/>
      <c r="C218" s="20"/>
    </row>
    <row r="219" spans="1:3" s="8" customFormat="1" x14ac:dyDescent="0.25">
      <c r="A219" s="21"/>
      <c r="B219" s="20"/>
      <c r="C219" s="20"/>
    </row>
    <row r="220" spans="1:3" s="8" customFormat="1" x14ac:dyDescent="0.25">
      <c r="A220" s="21"/>
      <c r="B220" s="20"/>
      <c r="C220" s="20"/>
    </row>
    <row r="221" spans="1:3" s="8" customFormat="1" x14ac:dyDescent="0.25">
      <c r="A221" s="21"/>
      <c r="B221" s="20"/>
      <c r="C221" s="20"/>
    </row>
    <row r="222" spans="1:3" s="8" customFormat="1" x14ac:dyDescent="0.25">
      <c r="A222" s="21"/>
      <c r="B222" s="20"/>
      <c r="C222" s="20"/>
    </row>
    <row r="223" spans="1:3" s="8" customFormat="1" x14ac:dyDescent="0.25">
      <c r="A223" s="21"/>
      <c r="B223" s="20"/>
      <c r="C223" s="20"/>
    </row>
  </sheetData>
  <sheetProtection algorithmName="SHA-512" hashValue="78T6CYJir73zcgMAnRX34/beNWK0jdVWGGFUxnTseK6bTA/rc2fSQQ4+q7vQYCMfYNEZTNC7UR0JCj+vffW/bg==" saltValue="oRKBLgH3wqwH5yq6qY9YnA==" spinCount="100000" sheet="1" objects="1" scenarios="1" formatColumns="0"/>
  <mergeCells count="1">
    <mergeCell ref="J13:K13"/>
  </mergeCells>
  <dataValidations count="1">
    <dataValidation type="whole" operator="greaterThanOrEqual" allowBlank="1" showInputMessage="1" showErrorMessage="1" sqref="L13" xr:uid="{00000000-0002-0000-0200-000000000000}">
      <formula1>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C5:F69"/>
  <sheetViews>
    <sheetView topLeftCell="A5" workbookViewId="0">
      <selection activeCell="I13" sqref="I13"/>
    </sheetView>
  </sheetViews>
  <sheetFormatPr defaultRowHeight="15" x14ac:dyDescent="0.25"/>
  <sheetData>
    <row r="5" spans="3:6" x14ac:dyDescent="0.25">
      <c r="C5">
        <v>0</v>
      </c>
      <c r="F5" s="5">
        <v>0.75</v>
      </c>
    </row>
    <row r="6" spans="3:6" x14ac:dyDescent="0.25">
      <c r="C6">
        <v>0.25</v>
      </c>
      <c r="F6" s="5">
        <v>0.76041666666666663</v>
      </c>
    </row>
    <row r="7" spans="3:6" x14ac:dyDescent="0.25">
      <c r="C7">
        <v>0.5</v>
      </c>
      <c r="F7" s="5">
        <v>0.77083333333333337</v>
      </c>
    </row>
    <row r="8" spans="3:6" x14ac:dyDescent="0.25">
      <c r="C8">
        <v>0.75</v>
      </c>
      <c r="F8" s="5">
        <v>0.78125</v>
      </c>
    </row>
    <row r="9" spans="3:6" x14ac:dyDescent="0.25">
      <c r="C9">
        <v>1</v>
      </c>
      <c r="F9" s="5">
        <v>0.79166666666666663</v>
      </c>
    </row>
    <row r="10" spans="3:6" x14ac:dyDescent="0.25">
      <c r="C10">
        <v>1.25</v>
      </c>
      <c r="F10" s="5">
        <v>0.80208333333333337</v>
      </c>
    </row>
    <row r="11" spans="3:6" x14ac:dyDescent="0.25">
      <c r="C11">
        <v>1.5</v>
      </c>
      <c r="F11" s="5">
        <v>0.8125</v>
      </c>
    </row>
    <row r="12" spans="3:6" x14ac:dyDescent="0.25">
      <c r="C12">
        <v>1.75</v>
      </c>
      <c r="F12" s="5">
        <v>0.82291666666666663</v>
      </c>
    </row>
    <row r="13" spans="3:6" x14ac:dyDescent="0.25">
      <c r="C13">
        <v>2</v>
      </c>
      <c r="F13" s="5">
        <v>0.83333333333333337</v>
      </c>
    </row>
    <row r="14" spans="3:6" x14ac:dyDescent="0.25">
      <c r="C14">
        <v>2.25</v>
      </c>
      <c r="F14" s="5">
        <v>0.84375</v>
      </c>
    </row>
    <row r="15" spans="3:6" x14ac:dyDescent="0.25">
      <c r="C15">
        <v>2.5</v>
      </c>
      <c r="F15" s="5">
        <v>0.85416666666666663</v>
      </c>
    </row>
    <row r="16" spans="3:6" x14ac:dyDescent="0.25">
      <c r="C16">
        <v>2.75</v>
      </c>
      <c r="F16" s="5">
        <v>0.86458333333333337</v>
      </c>
    </row>
    <row r="17" spans="3:6" x14ac:dyDescent="0.25">
      <c r="C17">
        <v>3</v>
      </c>
      <c r="F17" s="5">
        <v>0.875</v>
      </c>
    </row>
    <row r="18" spans="3:6" x14ac:dyDescent="0.25">
      <c r="C18">
        <v>3.25</v>
      </c>
      <c r="F18" s="5">
        <v>0.88541666666666663</v>
      </c>
    </row>
    <row r="19" spans="3:6" x14ac:dyDescent="0.25">
      <c r="C19">
        <v>3.5</v>
      </c>
      <c r="F19" s="5">
        <v>0.89583333333333337</v>
      </c>
    </row>
    <row r="20" spans="3:6" x14ac:dyDescent="0.25">
      <c r="C20">
        <v>3.75</v>
      </c>
      <c r="F20" s="5">
        <v>0.90625</v>
      </c>
    </row>
    <row r="21" spans="3:6" x14ac:dyDescent="0.25">
      <c r="C21">
        <v>4</v>
      </c>
      <c r="F21" s="5">
        <v>0.91666666666666663</v>
      </c>
    </row>
    <row r="22" spans="3:6" x14ac:dyDescent="0.25">
      <c r="C22">
        <v>4.25</v>
      </c>
      <c r="F22" s="5">
        <v>0.92708333333333337</v>
      </c>
    </row>
    <row r="23" spans="3:6" x14ac:dyDescent="0.25">
      <c r="C23">
        <v>4.5</v>
      </c>
      <c r="F23" s="5">
        <v>0.9375</v>
      </c>
    </row>
    <row r="24" spans="3:6" x14ac:dyDescent="0.25">
      <c r="C24" s="4">
        <v>4.75</v>
      </c>
      <c r="F24" s="5">
        <v>0.94791666666666663</v>
      </c>
    </row>
    <row r="25" spans="3:6" x14ac:dyDescent="0.25">
      <c r="C25" s="4">
        <v>5</v>
      </c>
      <c r="F25" s="5">
        <v>0.95833333333333337</v>
      </c>
    </row>
    <row r="26" spans="3:6" x14ac:dyDescent="0.25">
      <c r="C26" s="4">
        <v>5.25</v>
      </c>
      <c r="F26" s="5">
        <v>0.96875</v>
      </c>
    </row>
    <row r="27" spans="3:6" x14ac:dyDescent="0.25">
      <c r="C27" s="4">
        <v>5.5</v>
      </c>
      <c r="F27" s="5">
        <v>0.97916666666666663</v>
      </c>
    </row>
    <row r="28" spans="3:6" x14ac:dyDescent="0.25">
      <c r="C28">
        <v>5.75</v>
      </c>
      <c r="F28" s="5">
        <v>0.98958333333333337</v>
      </c>
    </row>
    <row r="29" spans="3:6" x14ac:dyDescent="0.25">
      <c r="C29">
        <v>6</v>
      </c>
      <c r="F29" s="5">
        <v>0</v>
      </c>
    </row>
    <row r="30" spans="3:6" x14ac:dyDescent="0.25">
      <c r="C30">
        <v>6.25</v>
      </c>
      <c r="F30" s="5">
        <v>1.0416666666666666E-2</v>
      </c>
    </row>
    <row r="31" spans="3:6" x14ac:dyDescent="0.25">
      <c r="C31">
        <v>6.5</v>
      </c>
      <c r="F31" s="5">
        <v>2.0833333333333332E-2</v>
      </c>
    </row>
    <row r="32" spans="3:6" x14ac:dyDescent="0.25">
      <c r="C32">
        <v>6.75</v>
      </c>
      <c r="F32" s="5">
        <v>3.125E-2</v>
      </c>
    </row>
    <row r="33" spans="3:6" x14ac:dyDescent="0.25">
      <c r="C33">
        <v>7</v>
      </c>
      <c r="F33" s="5">
        <v>4.1666666666666664E-2</v>
      </c>
    </row>
    <row r="34" spans="3:6" x14ac:dyDescent="0.25">
      <c r="C34">
        <v>7.25</v>
      </c>
      <c r="F34" s="5">
        <v>5.2083333333333336E-2</v>
      </c>
    </row>
    <row r="35" spans="3:6" x14ac:dyDescent="0.25">
      <c r="C35">
        <v>7.5</v>
      </c>
      <c r="F35" s="5">
        <v>6.25E-2</v>
      </c>
    </row>
    <row r="36" spans="3:6" x14ac:dyDescent="0.25">
      <c r="C36">
        <v>7.75</v>
      </c>
      <c r="F36" s="5">
        <v>7.2916666666666671E-2</v>
      </c>
    </row>
    <row r="37" spans="3:6" x14ac:dyDescent="0.25">
      <c r="C37">
        <v>8</v>
      </c>
      <c r="F37" s="5">
        <v>8.3333333333333329E-2</v>
      </c>
    </row>
    <row r="38" spans="3:6" x14ac:dyDescent="0.25">
      <c r="C38">
        <v>8.25</v>
      </c>
      <c r="F38" s="5">
        <v>9.375E-2</v>
      </c>
    </row>
    <row r="39" spans="3:6" x14ac:dyDescent="0.25">
      <c r="C39">
        <v>8.5</v>
      </c>
      <c r="F39" s="5">
        <v>0.10416666666666667</v>
      </c>
    </row>
    <row r="40" spans="3:6" x14ac:dyDescent="0.25">
      <c r="C40">
        <v>8.75</v>
      </c>
      <c r="F40" s="5">
        <v>0.11458333333333333</v>
      </c>
    </row>
    <row r="41" spans="3:6" x14ac:dyDescent="0.25">
      <c r="C41">
        <v>9</v>
      </c>
      <c r="F41" s="5">
        <v>0.125</v>
      </c>
    </row>
    <row r="42" spans="3:6" x14ac:dyDescent="0.25">
      <c r="C42">
        <v>9.25</v>
      </c>
      <c r="F42" s="5">
        <v>0.13541666666666666</v>
      </c>
    </row>
    <row r="43" spans="3:6" x14ac:dyDescent="0.25">
      <c r="C43">
        <v>9.5</v>
      </c>
      <c r="F43" s="5">
        <v>0.14583333333333334</v>
      </c>
    </row>
    <row r="44" spans="3:6" x14ac:dyDescent="0.25">
      <c r="C44">
        <v>9.75</v>
      </c>
      <c r="F44" s="5">
        <v>0.15625</v>
      </c>
    </row>
    <row r="45" spans="3:6" x14ac:dyDescent="0.25">
      <c r="C45">
        <v>10</v>
      </c>
      <c r="F45" s="5">
        <v>0.16666666666666666</v>
      </c>
    </row>
    <row r="46" spans="3:6" x14ac:dyDescent="0.25">
      <c r="C46">
        <v>10.25</v>
      </c>
      <c r="F46" s="5">
        <v>0.17708333333333334</v>
      </c>
    </row>
    <row r="47" spans="3:6" x14ac:dyDescent="0.25">
      <c r="C47">
        <v>10.5</v>
      </c>
      <c r="F47" s="5">
        <v>0.1875</v>
      </c>
    </row>
    <row r="48" spans="3:6" x14ac:dyDescent="0.25">
      <c r="C48">
        <v>10.75</v>
      </c>
      <c r="F48" s="5">
        <v>0.19791666666666666</v>
      </c>
    </row>
    <row r="49" spans="3:6" x14ac:dyDescent="0.25">
      <c r="C49">
        <v>11</v>
      </c>
      <c r="F49" s="5">
        <v>0.20833333333333334</v>
      </c>
    </row>
    <row r="50" spans="3:6" x14ac:dyDescent="0.25">
      <c r="F50" s="5">
        <v>0.21875</v>
      </c>
    </row>
    <row r="51" spans="3:6" x14ac:dyDescent="0.25">
      <c r="F51" s="5">
        <v>0.22916666666666666</v>
      </c>
    </row>
    <row r="52" spans="3:6" x14ac:dyDescent="0.25">
      <c r="F52" s="5">
        <v>0.23958333333333334</v>
      </c>
    </row>
    <row r="53" spans="3:6" x14ac:dyDescent="0.25">
      <c r="F53" s="5">
        <v>0.25</v>
      </c>
    </row>
    <row r="54" spans="3:6" x14ac:dyDescent="0.25">
      <c r="F54" s="5">
        <v>0.26041666666666669</v>
      </c>
    </row>
    <row r="55" spans="3:6" x14ac:dyDescent="0.25">
      <c r="F55" s="5">
        <v>0.27083333333333331</v>
      </c>
    </row>
    <row r="56" spans="3:6" x14ac:dyDescent="0.25">
      <c r="F56" s="5">
        <v>0.28125</v>
      </c>
    </row>
    <row r="57" spans="3:6" x14ac:dyDescent="0.25">
      <c r="F57" s="5">
        <v>0.29166666666666669</v>
      </c>
    </row>
    <row r="58" spans="3:6" x14ac:dyDescent="0.25">
      <c r="F58" s="5">
        <v>0.30208333333333331</v>
      </c>
    </row>
    <row r="59" spans="3:6" x14ac:dyDescent="0.25">
      <c r="F59" s="5">
        <v>0.3125</v>
      </c>
    </row>
    <row r="60" spans="3:6" x14ac:dyDescent="0.25">
      <c r="F60" s="5">
        <v>0.32291666666666669</v>
      </c>
    </row>
    <row r="61" spans="3:6" x14ac:dyDescent="0.25">
      <c r="F61" s="5">
        <v>0.33333333333333331</v>
      </c>
    </row>
    <row r="62" spans="3:6" x14ac:dyDescent="0.25">
      <c r="F62" s="5">
        <v>0.34375</v>
      </c>
    </row>
    <row r="63" spans="3:6" x14ac:dyDescent="0.25">
      <c r="F63" s="5">
        <v>0.35416666666666669</v>
      </c>
    </row>
    <row r="64" spans="3:6" x14ac:dyDescent="0.25">
      <c r="F64" s="5">
        <v>0.36458333333333331</v>
      </c>
    </row>
    <row r="65" spans="6:6" x14ac:dyDescent="0.25">
      <c r="F65" s="5">
        <v>0.375</v>
      </c>
    </row>
    <row r="66" spans="6:6" x14ac:dyDescent="0.25">
      <c r="F66" s="5">
        <v>0.38541666666666669</v>
      </c>
    </row>
    <row r="67" spans="6:6" x14ac:dyDescent="0.25">
      <c r="F67" s="5">
        <v>0.39583333333333331</v>
      </c>
    </row>
    <row r="68" spans="6:6" x14ac:dyDescent="0.25">
      <c r="F68" s="5">
        <v>0.40625</v>
      </c>
    </row>
    <row r="69" spans="6:6" x14ac:dyDescent="0.25">
      <c r="F69" s="5">
        <v>0.41666666666666669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Daily Figures</vt:lpstr>
      <vt:lpstr>dummy</vt:lpstr>
      <vt:lpstr>Shipment counter</vt:lpstr>
      <vt:lpstr>Sheet1</vt:lpstr>
    </vt:vector>
  </TitlesOfParts>
  <Company>UPS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Checinski Krystian (XRD7LVP)</dc:creator>
  <cp:lastModifiedBy>Krystian Chęciński</cp:lastModifiedBy>
  <dcterms:created xsi:type="dcterms:W3CDTF">2021-11-25T23:52:36Z</dcterms:created>
  <dcterms:modified xsi:type="dcterms:W3CDTF">2022-05-07T12:20:04Z</dcterms:modified>
</cp:coreProperties>
</file>